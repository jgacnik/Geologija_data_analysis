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ijssi-my.sharepoint.com/personal/jan_gacnik_ijs_si/Documents/Jan 2023+/Voda izotopi Polona/Murska Sobota/Data_analysis_MS/data/"/>
    </mc:Choice>
  </mc:AlternateContent>
  <xr:revisionPtr revIDLastSave="0" documentId="8_{64D94D55-A166-4047-9047-C8E086AF7055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Data Graz" sheetId="1" r:id="rId1"/>
    <sheet name="ESRI_MAPINFO_SHEET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98" i="1" l="1"/>
  <c r="R99" i="1"/>
  <c r="R100" i="1"/>
  <c r="R101" i="1"/>
  <c r="R102" i="1"/>
  <c r="R103" i="1"/>
  <c r="R104" i="1"/>
  <c r="R105" i="1"/>
  <c r="R106" i="1"/>
  <c r="R107" i="1"/>
  <c r="R108" i="1"/>
  <c r="R109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</calcChain>
</file>

<file path=xl/sharedStrings.xml><?xml version="1.0" encoding="utf-8"?>
<sst xmlns="http://schemas.openxmlformats.org/spreadsheetml/2006/main" count="533" uniqueCount="16">
  <si>
    <t>Station_ID</t>
  </si>
  <si>
    <t>Year</t>
  </si>
  <si>
    <t>Month</t>
  </si>
  <si>
    <t>P</t>
  </si>
  <si>
    <t>source of data</t>
  </si>
  <si>
    <t>T</t>
  </si>
  <si>
    <t>RH</t>
  </si>
  <si>
    <t>comment</t>
  </si>
  <si>
    <t>lab name</t>
  </si>
  <si>
    <t>d</t>
  </si>
  <si>
    <r>
      <rPr>
        <b/>
        <i/>
        <sz val="11"/>
        <color theme="1"/>
        <rFont val="Calibri"/>
        <family val="2"/>
        <charset val="238"/>
        <scheme val="minor"/>
      </rPr>
      <t>δ</t>
    </r>
    <r>
      <rPr>
        <b/>
        <vertAlign val="superscript"/>
        <sz val="11"/>
        <color theme="1"/>
        <rFont val="Calibri"/>
        <family val="2"/>
        <charset val="238"/>
        <scheme val="minor"/>
      </rPr>
      <t>18</t>
    </r>
    <r>
      <rPr>
        <b/>
        <sz val="11"/>
        <color theme="1"/>
        <rFont val="Calibri"/>
        <family val="2"/>
        <charset val="238"/>
        <scheme val="minor"/>
      </rPr>
      <t>O</t>
    </r>
  </si>
  <si>
    <r>
      <rPr>
        <b/>
        <i/>
        <sz val="11"/>
        <color theme="1"/>
        <rFont val="Calibri"/>
        <family val="2"/>
        <charset val="238"/>
        <scheme val="minor"/>
      </rPr>
      <t>δ</t>
    </r>
    <r>
      <rPr>
        <b/>
        <vertAlign val="superscript"/>
        <sz val="11"/>
        <color theme="1"/>
        <rFont val="Calibri"/>
        <family val="2"/>
        <charset val="238"/>
        <scheme val="minor"/>
      </rPr>
      <t>2</t>
    </r>
    <r>
      <rPr>
        <b/>
        <sz val="11"/>
        <color theme="1"/>
        <rFont val="Calibri"/>
        <family val="2"/>
        <charset val="238"/>
        <scheme val="minor"/>
      </rPr>
      <t>H</t>
    </r>
  </si>
  <si>
    <t xml:space="preserve"> Graz</t>
  </si>
  <si>
    <t>ARC_2007-2009</t>
  </si>
  <si>
    <t>Hydroisotop</t>
  </si>
  <si>
    <t>http://www.zamg.ac.at/histalp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</si>
</sst>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238"/>
    </font>
    <font>
      <sz val="11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8"/>
      <color rgb="FFFF0000"/>
      <name val="Arial"/>
      <family val="2"/>
      <charset val="238"/>
    </font>
    <font>
      <b/>
      <i/>
      <sz val="10"/>
      <color rgb="FFFF000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1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sz val="8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b/>
      <vertAlign val="superscript"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64" fontId="8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2" fontId="10" fillId="0" borderId="0" xfId="0" applyNumberFormat="1" applyFont="1"/>
    <xf numFmtId="2" fontId="10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" fontId="4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4" fontId="1" fillId="0" borderId="0" xfId="0" applyNumberFormat="1" applyFont="1" applyProtection="1">
      <protection locked="0"/>
    </xf>
    <xf numFmtId="14" fontId="1" fillId="0" borderId="0" xfId="0" applyNumberFormat="1" applyFont="1"/>
    <xf numFmtId="0" fontId="7" fillId="0" borderId="0" xfId="0" applyFont="1" applyAlignment="1">
      <alignment horizontal="left"/>
    </xf>
    <xf numFmtId="0" fontId="5" fillId="0" borderId="0" xfId="0" applyFont="1" applyAlignment="1"/>
    <xf numFmtId="1" fontId="3" fillId="0" borderId="0" xfId="0" applyNumberFormat="1" applyFont="1" applyAlignment="1">
      <alignment vertical="center"/>
    </xf>
    <xf numFmtId="1" fontId="3" fillId="0" borderId="0" xfId="0" applyNumberFormat="1" applyFont="1" applyAlignment="1"/>
    <xf numFmtId="0" fontId="7" fillId="0" borderId="0" xfId="0" applyFont="1" applyAlignment="1" applyProtection="1">
      <alignment horizontal="left"/>
      <protection locked="0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295275</xdr:colOff>
      <xdr:row>1</xdr:row>
      <xdr:rowOff>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295275</xdr:colOff>
      <xdr:row>1</xdr:row>
      <xdr:rowOff>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295275</xdr:colOff>
      <xdr:row>1</xdr:row>
      <xdr:rowOff>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17640</xdr:colOff>
      <xdr:row>0</xdr:row>
      <xdr:rowOff>0</xdr:rowOff>
    </xdr:from>
    <xdr:to>
      <xdr:col>9</xdr:col>
      <xdr:colOff>275400</xdr:colOff>
      <xdr:row>8</xdr:row>
      <xdr:rowOff>110880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76160" y="0"/>
          <a:ext cx="6328440" cy="16347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90000" tIns="45000" rIns="90000" bIns="45000"/>
        <a:lstStyle/>
        <a:p>
          <a:pPr algn="ctr">
            <a:lnSpc>
              <a:spcPct val="100000"/>
            </a:lnSpc>
          </a:pPr>
          <a:r>
            <a:rPr lang="en-US" sz="5000" b="1" strike="noStrike" spc="-1">
              <a:latin typeface="Verdana"/>
            </a:rPr>
            <a:t>DO NOT EDIT </a:t>
          </a:r>
          <a:endParaRPr lang="en-US" sz="50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en-US" sz="5000" b="1" strike="noStrike" spc="-1">
              <a:latin typeface="Verdana"/>
            </a:rPr>
            <a:t> For Esri use only</a:t>
          </a:r>
          <a:endParaRPr lang="en-US" sz="50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9"/>
  <sheetViews>
    <sheetView tabSelected="1" zoomScaleNormal="100" workbookViewId="0">
      <pane xSplit="3" ySplit="1" topLeftCell="D2" activePane="bottomRight" state="frozen"/>
      <selection pane="topRight" activeCell="W1" sqref="W1"/>
      <selection pane="bottomLeft" activeCell="A414" sqref="A414"/>
      <selection pane="bottomRight" activeCell="A2" sqref="A2:XFD13"/>
    </sheetView>
  </sheetViews>
  <sheetFormatPr defaultColWidth="9.109375" defaultRowHeight="13.8" x14ac:dyDescent="0.25"/>
  <cols>
    <col min="1" max="1" width="11.5546875" style="1" customWidth="1"/>
    <col min="2" max="2" width="7.88671875" style="3" customWidth="1"/>
    <col min="3" max="3" width="8.6640625" style="22" customWidth="1"/>
    <col min="4" max="4" width="8.6640625" style="39" customWidth="1"/>
    <col min="5" max="5" width="8.6640625" style="33" customWidth="1"/>
    <col min="6" max="6" width="8.6640625" style="39" customWidth="1"/>
    <col min="7" max="7" width="8.6640625" style="33" customWidth="1"/>
    <col min="8" max="8" width="10.109375" style="1" bestFit="1" customWidth="1"/>
    <col min="9" max="9" width="11.88671875" style="6" customWidth="1"/>
    <col min="10" max="10" width="9.109375" style="4" customWidth="1"/>
    <col min="11" max="11" width="12.44140625" style="6" customWidth="1"/>
    <col min="12" max="12" width="8.33203125" style="6" customWidth="1"/>
    <col min="13" max="13" width="12.88671875" style="6" customWidth="1"/>
    <col min="14" max="14" width="9.109375" style="5" customWidth="1"/>
    <col min="15" max="15" width="11.88671875" style="6" customWidth="1"/>
    <col min="16" max="16" width="8.5546875" style="12" customWidth="1"/>
    <col min="17" max="17" width="13.88671875" style="6" customWidth="1"/>
    <col min="18" max="18" width="9.109375" style="5" customWidth="1"/>
    <col min="19" max="1009" width="8.5546875" style="2" customWidth="1"/>
    <col min="1010" max="16384" width="9.109375" style="2"/>
  </cols>
  <sheetData>
    <row r="1" spans="1:18" s="14" customFormat="1" ht="27" customHeight="1" x14ac:dyDescent="0.3">
      <c r="A1" s="13" t="s">
        <v>0</v>
      </c>
      <c r="B1" s="13" t="s">
        <v>1</v>
      </c>
      <c r="C1" s="25" t="s">
        <v>2</v>
      </c>
      <c r="D1" s="36" t="s">
        <v>3</v>
      </c>
      <c r="E1" s="31" t="s">
        <v>4</v>
      </c>
      <c r="F1" s="36" t="s">
        <v>5</v>
      </c>
      <c r="G1" s="31" t="s">
        <v>4</v>
      </c>
      <c r="H1" s="13" t="s">
        <v>6</v>
      </c>
      <c r="I1" s="15"/>
      <c r="J1" s="26" t="s">
        <v>10</v>
      </c>
      <c r="K1" s="15" t="s">
        <v>7</v>
      </c>
      <c r="L1" s="15" t="s">
        <v>8</v>
      </c>
      <c r="M1" s="15" t="s">
        <v>4</v>
      </c>
      <c r="N1" s="26" t="s">
        <v>11</v>
      </c>
      <c r="O1" s="15" t="s">
        <v>7</v>
      </c>
      <c r="P1" s="15" t="s">
        <v>8</v>
      </c>
      <c r="Q1" s="15" t="s">
        <v>4</v>
      </c>
      <c r="R1" s="16" t="s">
        <v>9</v>
      </c>
    </row>
    <row r="2" spans="1:18" ht="14.4" x14ac:dyDescent="0.3">
      <c r="A2" s="27" t="s">
        <v>12</v>
      </c>
      <c r="B2" s="3">
        <v>2016</v>
      </c>
      <c r="C2" s="21">
        <v>1</v>
      </c>
      <c r="D2" s="37">
        <v>21</v>
      </c>
      <c r="E2" s="32" t="s">
        <v>15</v>
      </c>
      <c r="F2" s="38">
        <v>-0.1</v>
      </c>
      <c r="G2" s="32" t="s">
        <v>15</v>
      </c>
      <c r="H2" s="28"/>
      <c r="J2" s="4">
        <v>-12.08</v>
      </c>
      <c r="K2" s="7"/>
      <c r="L2" s="9" t="s">
        <v>13</v>
      </c>
      <c r="N2" s="4">
        <v>-89.2</v>
      </c>
      <c r="O2" s="7"/>
      <c r="P2" s="34" t="s">
        <v>13</v>
      </c>
      <c r="R2" s="10">
        <f t="shared" ref="R2:R21" si="0">N2-8*J2</f>
        <v>7.4399999999999977</v>
      </c>
    </row>
    <row r="3" spans="1:18" ht="14.4" x14ac:dyDescent="0.3">
      <c r="A3" s="27" t="s">
        <v>12</v>
      </c>
      <c r="B3" s="3">
        <v>2016</v>
      </c>
      <c r="C3" s="21">
        <v>2</v>
      </c>
      <c r="D3" s="37">
        <v>79</v>
      </c>
      <c r="E3" s="32" t="s">
        <v>15</v>
      </c>
      <c r="F3" s="38">
        <v>4.9000000000000004</v>
      </c>
      <c r="G3" s="32" t="s">
        <v>15</v>
      </c>
      <c r="H3" s="28"/>
      <c r="J3" s="4">
        <v>-11.91</v>
      </c>
      <c r="K3" s="7"/>
      <c r="L3" s="9" t="s">
        <v>13</v>
      </c>
      <c r="N3" s="4">
        <v>-87.5</v>
      </c>
      <c r="O3" s="7"/>
      <c r="P3" s="34" t="s">
        <v>13</v>
      </c>
      <c r="R3" s="10">
        <f t="shared" si="0"/>
        <v>7.7800000000000011</v>
      </c>
    </row>
    <row r="4" spans="1:18" ht="14.4" x14ac:dyDescent="0.3">
      <c r="A4" s="27" t="s">
        <v>12</v>
      </c>
      <c r="B4" s="3">
        <v>2016</v>
      </c>
      <c r="C4" s="21">
        <v>3</v>
      </c>
      <c r="D4" s="37">
        <v>31</v>
      </c>
      <c r="E4" s="32" t="s">
        <v>15</v>
      </c>
      <c r="F4" s="38">
        <v>6.6</v>
      </c>
      <c r="G4" s="32" t="s">
        <v>15</v>
      </c>
      <c r="H4" s="28"/>
      <c r="J4" s="4">
        <v>-15.68</v>
      </c>
      <c r="K4" s="7"/>
      <c r="L4" s="9" t="s">
        <v>13</v>
      </c>
      <c r="N4" s="4">
        <v>-117.8</v>
      </c>
      <c r="O4" s="7"/>
      <c r="P4" s="34" t="s">
        <v>13</v>
      </c>
      <c r="R4" s="10">
        <f t="shared" si="0"/>
        <v>7.6400000000000006</v>
      </c>
    </row>
    <row r="5" spans="1:18" ht="14.4" x14ac:dyDescent="0.3">
      <c r="A5" s="27" t="s">
        <v>12</v>
      </c>
      <c r="B5" s="3">
        <v>2016</v>
      </c>
      <c r="C5" s="21">
        <v>4</v>
      </c>
      <c r="D5" s="37">
        <v>22</v>
      </c>
      <c r="E5" s="32" t="s">
        <v>15</v>
      </c>
      <c r="F5" s="38">
        <v>12.1</v>
      </c>
      <c r="G5" s="32" t="s">
        <v>15</v>
      </c>
      <c r="H5" s="28"/>
      <c r="J5" s="4">
        <v>-7.06</v>
      </c>
      <c r="K5" s="7"/>
      <c r="L5" s="9" t="s">
        <v>13</v>
      </c>
      <c r="N5" s="4">
        <v>-55.7</v>
      </c>
      <c r="O5" s="7"/>
      <c r="P5" s="34" t="s">
        <v>13</v>
      </c>
      <c r="R5" s="10">
        <f t="shared" si="0"/>
        <v>0.77999999999999403</v>
      </c>
    </row>
    <row r="6" spans="1:18" ht="14.4" x14ac:dyDescent="0.3">
      <c r="A6" s="27" t="s">
        <v>12</v>
      </c>
      <c r="B6" s="3">
        <v>2016</v>
      </c>
      <c r="C6" s="21">
        <v>5</v>
      </c>
      <c r="D6" s="37">
        <v>118</v>
      </c>
      <c r="E6" s="32" t="s">
        <v>15</v>
      </c>
      <c r="F6" s="38">
        <v>15.2</v>
      </c>
      <c r="G6" s="32" t="s">
        <v>15</v>
      </c>
      <c r="H6" s="28"/>
      <c r="J6" s="4">
        <v>-6.88</v>
      </c>
      <c r="K6" s="7"/>
      <c r="L6" s="9" t="s">
        <v>13</v>
      </c>
      <c r="N6" s="4">
        <v>-46.4</v>
      </c>
      <c r="O6" s="7"/>
      <c r="P6" s="34" t="s">
        <v>13</v>
      </c>
      <c r="R6" s="10">
        <f t="shared" si="0"/>
        <v>8.64</v>
      </c>
    </row>
    <row r="7" spans="1:18" ht="14.4" x14ac:dyDescent="0.3">
      <c r="A7" s="27" t="s">
        <v>12</v>
      </c>
      <c r="B7" s="3">
        <v>2016</v>
      </c>
      <c r="C7" s="21">
        <v>6</v>
      </c>
      <c r="D7" s="37">
        <v>132</v>
      </c>
      <c r="E7" s="32" t="s">
        <v>15</v>
      </c>
      <c r="F7" s="38">
        <v>19.399999999999999</v>
      </c>
      <c r="G7" s="32" t="s">
        <v>15</v>
      </c>
      <c r="H7" s="28"/>
      <c r="J7" s="4">
        <v>-8.6999999999999993</v>
      </c>
      <c r="K7" s="7"/>
      <c r="L7" s="9" t="s">
        <v>13</v>
      </c>
      <c r="N7" s="4">
        <v>-64</v>
      </c>
      <c r="O7" s="7"/>
      <c r="P7" s="34" t="s">
        <v>13</v>
      </c>
      <c r="R7" s="10">
        <f t="shared" si="0"/>
        <v>5.5999999999999943</v>
      </c>
    </row>
    <row r="8" spans="1:18" ht="14.4" x14ac:dyDescent="0.3">
      <c r="A8" s="27" t="s">
        <v>12</v>
      </c>
      <c r="B8" s="3">
        <v>2016</v>
      </c>
      <c r="C8" s="21">
        <v>7</v>
      </c>
      <c r="D8" s="37">
        <v>156</v>
      </c>
      <c r="E8" s="32" t="s">
        <v>15</v>
      </c>
      <c r="F8" s="38">
        <v>21.4</v>
      </c>
      <c r="G8" s="32" t="s">
        <v>15</v>
      </c>
      <c r="H8" s="28"/>
      <c r="J8" s="4">
        <v>-5.3</v>
      </c>
      <c r="K8" s="7"/>
      <c r="L8" s="9" t="s">
        <v>13</v>
      </c>
      <c r="N8" s="4">
        <v>-34.9</v>
      </c>
      <c r="O8" s="7"/>
      <c r="P8" s="34" t="s">
        <v>13</v>
      </c>
      <c r="R8" s="10">
        <f t="shared" si="0"/>
        <v>7.5</v>
      </c>
    </row>
    <row r="9" spans="1:18" ht="14.4" x14ac:dyDescent="0.3">
      <c r="A9" s="27" t="s">
        <v>12</v>
      </c>
      <c r="B9" s="3">
        <v>2016</v>
      </c>
      <c r="C9" s="21">
        <v>8</v>
      </c>
      <c r="D9" s="37">
        <v>96</v>
      </c>
      <c r="E9" s="32" t="s">
        <v>15</v>
      </c>
      <c r="F9" s="38">
        <v>19.399999999999999</v>
      </c>
      <c r="G9" s="32" t="s">
        <v>15</v>
      </c>
      <c r="H9" s="28"/>
      <c r="J9" s="4">
        <v>-6.89</v>
      </c>
      <c r="K9" s="7"/>
      <c r="L9" s="9" t="s">
        <v>13</v>
      </c>
      <c r="N9" s="4">
        <v>-49.8</v>
      </c>
      <c r="O9" s="7"/>
      <c r="P9" s="34" t="s">
        <v>13</v>
      </c>
      <c r="R9" s="10">
        <f t="shared" si="0"/>
        <v>5.32</v>
      </c>
    </row>
    <row r="10" spans="1:18" ht="14.4" x14ac:dyDescent="0.3">
      <c r="A10" s="27" t="s">
        <v>12</v>
      </c>
      <c r="B10" s="3">
        <v>2016</v>
      </c>
      <c r="C10" s="21">
        <v>9</v>
      </c>
      <c r="D10" s="37">
        <v>25</v>
      </c>
      <c r="E10" s="32" t="s">
        <v>15</v>
      </c>
      <c r="F10" s="38">
        <v>17.399999999999999</v>
      </c>
      <c r="G10" s="32" t="s">
        <v>15</v>
      </c>
      <c r="H10" s="28"/>
      <c r="J10" s="4">
        <v>-8.2799999999999994</v>
      </c>
      <c r="K10" s="7"/>
      <c r="L10" s="9" t="s">
        <v>13</v>
      </c>
      <c r="N10" s="4">
        <v>-63.3</v>
      </c>
      <c r="O10" s="7"/>
      <c r="P10" s="34" t="s">
        <v>13</v>
      </c>
      <c r="R10" s="10">
        <f t="shared" si="0"/>
        <v>2.9399999999999977</v>
      </c>
    </row>
    <row r="11" spans="1:18" ht="14.4" x14ac:dyDescent="0.3">
      <c r="A11" s="27" t="s">
        <v>12</v>
      </c>
      <c r="B11" s="3">
        <v>2016</v>
      </c>
      <c r="C11" s="21">
        <v>10</v>
      </c>
      <c r="D11" s="37">
        <v>85</v>
      </c>
      <c r="E11" s="32" t="s">
        <v>15</v>
      </c>
      <c r="F11" s="38">
        <v>9.5</v>
      </c>
      <c r="G11" s="32" t="s">
        <v>15</v>
      </c>
      <c r="H11" s="28"/>
      <c r="J11" s="4">
        <v>-11.19</v>
      </c>
      <c r="K11" s="7"/>
      <c r="L11" s="9" t="s">
        <v>13</v>
      </c>
      <c r="N11" s="4">
        <v>-78.900000000000006</v>
      </c>
      <c r="O11" s="7"/>
      <c r="P11" s="34" t="s">
        <v>13</v>
      </c>
      <c r="R11" s="10">
        <f t="shared" si="0"/>
        <v>10.61999999999999</v>
      </c>
    </row>
    <row r="12" spans="1:18" ht="14.4" x14ac:dyDescent="0.3">
      <c r="A12" s="27" t="s">
        <v>12</v>
      </c>
      <c r="B12" s="3">
        <v>2016</v>
      </c>
      <c r="C12" s="21">
        <v>11</v>
      </c>
      <c r="D12" s="37">
        <v>47</v>
      </c>
      <c r="E12" s="32" t="s">
        <v>15</v>
      </c>
      <c r="F12" s="38">
        <v>5</v>
      </c>
      <c r="G12" s="32" t="s">
        <v>15</v>
      </c>
      <c r="H12" s="28"/>
      <c r="J12" s="4">
        <v>-12.87</v>
      </c>
      <c r="K12" s="7"/>
      <c r="L12" s="9" t="s">
        <v>13</v>
      </c>
      <c r="N12" s="4">
        <v>-91</v>
      </c>
      <c r="O12" s="7"/>
      <c r="P12" s="34" t="s">
        <v>13</v>
      </c>
      <c r="R12" s="10">
        <f t="shared" si="0"/>
        <v>11.959999999999994</v>
      </c>
    </row>
    <row r="13" spans="1:18" ht="14.4" x14ac:dyDescent="0.3">
      <c r="A13" s="27" t="s">
        <v>12</v>
      </c>
      <c r="B13" s="3">
        <v>2016</v>
      </c>
      <c r="C13" s="21">
        <v>12</v>
      </c>
      <c r="D13" s="37">
        <v>6</v>
      </c>
      <c r="E13" s="32" t="s">
        <v>15</v>
      </c>
      <c r="F13" s="38">
        <v>0.4</v>
      </c>
      <c r="G13" s="32" t="s">
        <v>15</v>
      </c>
      <c r="H13" s="28"/>
      <c r="J13" s="4">
        <v>-10.56</v>
      </c>
      <c r="K13" s="7"/>
      <c r="L13" s="9" t="s">
        <v>13</v>
      </c>
      <c r="N13" s="4">
        <v>-72.900000000000006</v>
      </c>
      <c r="O13" s="7"/>
      <c r="P13" s="34" t="s">
        <v>13</v>
      </c>
      <c r="R13" s="10">
        <f t="shared" si="0"/>
        <v>11.579999999999998</v>
      </c>
    </row>
    <row r="14" spans="1:18" ht="14.4" x14ac:dyDescent="0.3">
      <c r="A14" s="27" t="s">
        <v>12</v>
      </c>
      <c r="B14" s="3">
        <v>2017</v>
      </c>
      <c r="C14" s="21">
        <v>1</v>
      </c>
      <c r="D14" s="37">
        <v>11</v>
      </c>
      <c r="E14" s="32" t="s">
        <v>15</v>
      </c>
      <c r="F14" s="38">
        <v>-4.4000000000000004</v>
      </c>
      <c r="G14" s="32" t="s">
        <v>15</v>
      </c>
      <c r="H14" s="28"/>
      <c r="J14" s="4">
        <v>-13.04</v>
      </c>
      <c r="K14" s="7"/>
      <c r="L14" s="9" t="s">
        <v>13</v>
      </c>
      <c r="N14" s="4">
        <v>-94.6</v>
      </c>
      <c r="O14" s="7"/>
      <c r="P14" s="34" t="s">
        <v>13</v>
      </c>
      <c r="R14" s="10">
        <f t="shared" si="0"/>
        <v>9.7199999999999989</v>
      </c>
    </row>
    <row r="15" spans="1:18" ht="14.4" x14ac:dyDescent="0.3">
      <c r="A15" s="27" t="s">
        <v>12</v>
      </c>
      <c r="B15" s="3">
        <v>2017</v>
      </c>
      <c r="C15" s="21">
        <v>2</v>
      </c>
      <c r="D15" s="37">
        <v>35</v>
      </c>
      <c r="E15" s="32" t="s">
        <v>15</v>
      </c>
      <c r="F15" s="38">
        <v>3</v>
      </c>
      <c r="G15" s="32" t="s">
        <v>15</v>
      </c>
      <c r="H15" s="28"/>
      <c r="J15" s="4">
        <v>-12.42</v>
      </c>
      <c r="K15" s="7"/>
      <c r="L15" s="9" t="s">
        <v>13</v>
      </c>
      <c r="N15" s="4">
        <v>-90.3</v>
      </c>
      <c r="O15" s="7"/>
      <c r="P15" s="34" t="s">
        <v>13</v>
      </c>
      <c r="R15" s="10">
        <f t="shared" si="0"/>
        <v>9.0600000000000023</v>
      </c>
    </row>
    <row r="16" spans="1:18" ht="14.4" x14ac:dyDescent="0.3">
      <c r="A16" s="27" t="s">
        <v>12</v>
      </c>
      <c r="B16" s="3">
        <v>2017</v>
      </c>
      <c r="C16" s="21">
        <v>3</v>
      </c>
      <c r="D16" s="37">
        <v>5</v>
      </c>
      <c r="E16" s="32" t="s">
        <v>15</v>
      </c>
      <c r="F16" s="38">
        <v>9</v>
      </c>
      <c r="G16" s="32" t="s">
        <v>15</v>
      </c>
      <c r="H16" s="28"/>
      <c r="J16" s="4">
        <v>-7.69</v>
      </c>
      <c r="K16" s="7"/>
      <c r="L16" s="9" t="s">
        <v>13</v>
      </c>
      <c r="N16" s="4">
        <v>-60.4</v>
      </c>
      <c r="O16" s="7"/>
      <c r="P16" s="34" t="s">
        <v>13</v>
      </c>
      <c r="R16" s="10">
        <f t="shared" si="0"/>
        <v>1.1200000000000045</v>
      </c>
    </row>
    <row r="17" spans="1:18" ht="14.4" x14ac:dyDescent="0.3">
      <c r="A17" s="27" t="s">
        <v>12</v>
      </c>
      <c r="B17" s="3">
        <v>2017</v>
      </c>
      <c r="C17" s="21">
        <v>4</v>
      </c>
      <c r="D17" s="37">
        <v>80</v>
      </c>
      <c r="E17" s="32" t="s">
        <v>15</v>
      </c>
      <c r="F17" s="38">
        <v>10.6</v>
      </c>
      <c r="G17" s="32" t="s">
        <v>15</v>
      </c>
      <c r="H17" s="28"/>
      <c r="J17" s="4">
        <v>-8.0399999999999991</v>
      </c>
      <c r="K17" s="7"/>
      <c r="L17" s="9" t="s">
        <v>13</v>
      </c>
      <c r="N17" s="4">
        <v>-51.9</v>
      </c>
      <c r="O17" s="7"/>
      <c r="P17" s="34" t="s">
        <v>13</v>
      </c>
      <c r="R17" s="10">
        <f t="shared" si="0"/>
        <v>12.419999999999995</v>
      </c>
    </row>
    <row r="18" spans="1:18" ht="14.4" x14ac:dyDescent="0.3">
      <c r="A18" s="27" t="s">
        <v>12</v>
      </c>
      <c r="B18" s="3">
        <v>2017</v>
      </c>
      <c r="C18" s="21">
        <v>5</v>
      </c>
      <c r="D18" s="37">
        <v>47</v>
      </c>
      <c r="E18" s="32" t="s">
        <v>15</v>
      </c>
      <c r="F18" s="38">
        <v>16.399999999999999</v>
      </c>
      <c r="G18" s="32" t="s">
        <v>15</v>
      </c>
      <c r="H18" s="28"/>
      <c r="J18" s="4">
        <v>-8.08</v>
      </c>
      <c r="K18" s="7"/>
      <c r="L18" s="9" t="s">
        <v>13</v>
      </c>
      <c r="N18" s="4">
        <v>-67.099999999999994</v>
      </c>
      <c r="O18" s="7"/>
      <c r="P18" s="34" t="s">
        <v>13</v>
      </c>
      <c r="R18" s="10">
        <f t="shared" si="0"/>
        <v>-2.4599999999999937</v>
      </c>
    </row>
    <row r="19" spans="1:18" ht="14.4" x14ac:dyDescent="0.3">
      <c r="A19" s="27" t="s">
        <v>12</v>
      </c>
      <c r="B19" s="3">
        <v>2017</v>
      </c>
      <c r="C19" s="21">
        <v>6</v>
      </c>
      <c r="D19" s="37">
        <v>91</v>
      </c>
      <c r="E19" s="32" t="s">
        <v>15</v>
      </c>
      <c r="F19" s="38">
        <v>20.9</v>
      </c>
      <c r="G19" s="32" t="s">
        <v>15</v>
      </c>
      <c r="H19" s="28"/>
      <c r="J19" s="4">
        <v>-4.7300000000000004</v>
      </c>
      <c r="K19" s="7"/>
      <c r="L19" s="9" t="s">
        <v>13</v>
      </c>
      <c r="N19" s="4">
        <v>-33.200000000000003</v>
      </c>
      <c r="O19" s="7"/>
      <c r="P19" s="34" t="s">
        <v>13</v>
      </c>
      <c r="R19" s="10">
        <f t="shared" si="0"/>
        <v>4.6400000000000006</v>
      </c>
    </row>
    <row r="20" spans="1:18" ht="14.4" x14ac:dyDescent="0.3">
      <c r="A20" s="27" t="s">
        <v>12</v>
      </c>
      <c r="B20" s="3">
        <v>2017</v>
      </c>
      <c r="C20" s="21">
        <v>7</v>
      </c>
      <c r="D20" s="37">
        <v>110</v>
      </c>
      <c r="E20" s="32" t="s">
        <v>15</v>
      </c>
      <c r="F20" s="38">
        <v>21.7</v>
      </c>
      <c r="G20" s="32" t="s">
        <v>15</v>
      </c>
      <c r="H20" s="28"/>
      <c r="J20" s="4">
        <v>-5.6</v>
      </c>
      <c r="K20" s="7"/>
      <c r="L20" s="9" t="s">
        <v>13</v>
      </c>
      <c r="N20" s="4">
        <v>-34.200000000000003</v>
      </c>
      <c r="O20" s="7"/>
      <c r="P20" s="34" t="s">
        <v>13</v>
      </c>
      <c r="R20" s="10">
        <f t="shared" si="0"/>
        <v>10.599999999999994</v>
      </c>
    </row>
    <row r="21" spans="1:18" ht="14.4" x14ac:dyDescent="0.3">
      <c r="A21" s="27" t="s">
        <v>12</v>
      </c>
      <c r="B21" s="3">
        <v>2017</v>
      </c>
      <c r="C21" s="21">
        <v>8</v>
      </c>
      <c r="D21" s="37">
        <v>115</v>
      </c>
      <c r="E21" s="32" t="s">
        <v>15</v>
      </c>
      <c r="F21" s="38">
        <v>21.5</v>
      </c>
      <c r="G21" s="32" t="s">
        <v>15</v>
      </c>
      <c r="H21" s="28"/>
      <c r="J21" s="4">
        <v>-5.2</v>
      </c>
      <c r="K21" s="7"/>
      <c r="L21" s="9" t="s">
        <v>13</v>
      </c>
      <c r="N21" s="4">
        <v>-31.9</v>
      </c>
      <c r="O21" s="7"/>
      <c r="P21" s="34" t="s">
        <v>13</v>
      </c>
      <c r="R21" s="10">
        <f t="shared" si="0"/>
        <v>9.7000000000000028</v>
      </c>
    </row>
    <row r="22" spans="1:18" ht="14.4" x14ac:dyDescent="0.3">
      <c r="A22" s="27" t="s">
        <v>12</v>
      </c>
      <c r="B22" s="3">
        <v>2017</v>
      </c>
      <c r="C22" s="21">
        <v>9</v>
      </c>
      <c r="D22" s="37">
        <v>128</v>
      </c>
      <c r="E22" s="32" t="s">
        <v>15</v>
      </c>
      <c r="F22" s="38">
        <v>14</v>
      </c>
      <c r="G22" s="32" t="s">
        <v>15</v>
      </c>
      <c r="H22" s="28"/>
      <c r="J22" s="4">
        <v>-8.9499999999999993</v>
      </c>
      <c r="K22" s="7"/>
      <c r="L22" s="9" t="s">
        <v>13</v>
      </c>
      <c r="N22" s="4">
        <v>-63</v>
      </c>
      <c r="O22" s="7"/>
      <c r="P22" s="34" t="s">
        <v>13</v>
      </c>
      <c r="R22" s="10">
        <f t="shared" ref="R22:R85" si="1">N22-8*J22</f>
        <v>8.5999999999999943</v>
      </c>
    </row>
    <row r="23" spans="1:18" ht="14.4" x14ac:dyDescent="0.3">
      <c r="A23" s="27" t="s">
        <v>12</v>
      </c>
      <c r="B23" s="3">
        <v>2017</v>
      </c>
      <c r="C23" s="21">
        <v>10</v>
      </c>
      <c r="D23" s="37">
        <v>16</v>
      </c>
      <c r="E23" s="32" t="s">
        <v>15</v>
      </c>
      <c r="F23" s="38">
        <v>11.2</v>
      </c>
      <c r="G23" s="32" t="s">
        <v>15</v>
      </c>
      <c r="H23" s="28"/>
      <c r="J23" s="4">
        <v>-7.27</v>
      </c>
      <c r="K23" s="7"/>
      <c r="L23" s="9" t="s">
        <v>13</v>
      </c>
      <c r="N23" s="4">
        <v>-53.6</v>
      </c>
      <c r="O23" s="7"/>
      <c r="P23" s="34" t="s">
        <v>13</v>
      </c>
      <c r="R23" s="10">
        <f t="shared" si="1"/>
        <v>4.5599999999999952</v>
      </c>
    </row>
    <row r="24" spans="1:18" ht="14.4" x14ac:dyDescent="0.3">
      <c r="A24" s="27" t="s">
        <v>12</v>
      </c>
      <c r="B24" s="3">
        <v>2017</v>
      </c>
      <c r="C24" s="21">
        <v>11</v>
      </c>
      <c r="D24" s="37">
        <v>70</v>
      </c>
      <c r="E24" s="32" t="s">
        <v>15</v>
      </c>
      <c r="F24" s="38">
        <v>4.9000000000000004</v>
      </c>
      <c r="G24" s="32" t="s">
        <v>15</v>
      </c>
      <c r="H24" s="28"/>
      <c r="J24" s="4">
        <v>-13.18</v>
      </c>
      <c r="K24" s="7"/>
      <c r="L24" s="9" t="s">
        <v>13</v>
      </c>
      <c r="N24" s="4">
        <v>-92</v>
      </c>
      <c r="O24" s="7"/>
      <c r="P24" s="34" t="s">
        <v>13</v>
      </c>
      <c r="R24" s="10">
        <f t="shared" si="1"/>
        <v>13.439999999999998</v>
      </c>
    </row>
    <row r="25" spans="1:18" ht="14.4" x14ac:dyDescent="0.3">
      <c r="A25" s="27" t="s">
        <v>12</v>
      </c>
      <c r="B25" s="3">
        <v>2017</v>
      </c>
      <c r="C25" s="21">
        <v>12</v>
      </c>
      <c r="D25" s="37">
        <v>28</v>
      </c>
      <c r="E25" s="32" t="s">
        <v>15</v>
      </c>
      <c r="F25" s="38">
        <v>1</v>
      </c>
      <c r="G25" s="32" t="s">
        <v>15</v>
      </c>
      <c r="H25" s="28"/>
      <c r="J25" s="4">
        <v>-12.02</v>
      </c>
      <c r="K25" s="7"/>
      <c r="L25" s="9" t="s">
        <v>13</v>
      </c>
      <c r="N25" s="4">
        <v>-85.6</v>
      </c>
      <c r="O25" s="7"/>
      <c r="P25" s="34" t="s">
        <v>13</v>
      </c>
      <c r="R25" s="10">
        <f t="shared" si="1"/>
        <v>10.560000000000002</v>
      </c>
    </row>
    <row r="26" spans="1:18" ht="14.4" x14ac:dyDescent="0.3">
      <c r="A26" s="27" t="s">
        <v>12</v>
      </c>
      <c r="B26" s="3">
        <v>2018</v>
      </c>
      <c r="C26" s="21">
        <v>1</v>
      </c>
      <c r="D26" s="37">
        <v>24</v>
      </c>
      <c r="E26" s="32" t="s">
        <v>15</v>
      </c>
      <c r="F26" s="38">
        <v>2.7</v>
      </c>
      <c r="G26" s="32" t="s">
        <v>15</v>
      </c>
      <c r="H26" s="28"/>
      <c r="J26" s="4">
        <v>-12.4</v>
      </c>
      <c r="K26" s="7"/>
      <c r="L26" s="9" t="s">
        <v>13</v>
      </c>
      <c r="N26" s="4">
        <v>-89.7</v>
      </c>
      <c r="O26" s="7"/>
      <c r="P26" s="34" t="s">
        <v>13</v>
      </c>
      <c r="R26" s="10">
        <f t="shared" si="1"/>
        <v>9.5</v>
      </c>
    </row>
    <row r="27" spans="1:18" ht="14.4" x14ac:dyDescent="0.3">
      <c r="A27" s="27" t="s">
        <v>12</v>
      </c>
      <c r="B27" s="3">
        <v>2018</v>
      </c>
      <c r="C27" s="21">
        <v>2</v>
      </c>
      <c r="D27" s="37">
        <v>64</v>
      </c>
      <c r="E27" s="32" t="s">
        <v>15</v>
      </c>
      <c r="F27" s="38">
        <v>-0.6</v>
      </c>
      <c r="G27" s="32" t="s">
        <v>15</v>
      </c>
      <c r="H27" s="28"/>
      <c r="J27" s="4">
        <v>-18.36</v>
      </c>
      <c r="K27" s="7"/>
      <c r="L27" s="9" t="s">
        <v>13</v>
      </c>
      <c r="N27" s="4">
        <v>-138.6</v>
      </c>
      <c r="O27" s="7"/>
      <c r="P27" s="34" t="s">
        <v>13</v>
      </c>
      <c r="R27" s="10">
        <f t="shared" si="1"/>
        <v>8.2800000000000011</v>
      </c>
    </row>
    <row r="28" spans="1:18" ht="14.4" x14ac:dyDescent="0.3">
      <c r="A28" s="27" t="s">
        <v>12</v>
      </c>
      <c r="B28" s="3">
        <v>2018</v>
      </c>
      <c r="C28" s="21">
        <v>3</v>
      </c>
      <c r="D28" s="37">
        <v>54</v>
      </c>
      <c r="E28" s="32" t="s">
        <v>15</v>
      </c>
      <c r="F28" s="38">
        <v>3.2</v>
      </c>
      <c r="G28" s="32" t="s">
        <v>15</v>
      </c>
      <c r="H28" s="28"/>
      <c r="J28" s="4">
        <v>-14.39</v>
      </c>
      <c r="K28" s="7"/>
      <c r="L28" s="9" t="s">
        <v>13</v>
      </c>
      <c r="N28" s="4">
        <v>-108.5</v>
      </c>
      <c r="O28" s="7"/>
      <c r="P28" s="34" t="s">
        <v>13</v>
      </c>
      <c r="R28" s="10">
        <f t="shared" si="1"/>
        <v>6.6200000000000045</v>
      </c>
    </row>
    <row r="29" spans="1:18" ht="14.4" x14ac:dyDescent="0.3">
      <c r="A29" s="27" t="s">
        <v>12</v>
      </c>
      <c r="B29" s="3">
        <v>2018</v>
      </c>
      <c r="C29" s="21">
        <v>4</v>
      </c>
      <c r="D29" s="37">
        <v>77</v>
      </c>
      <c r="E29" s="32" t="s">
        <v>15</v>
      </c>
      <c r="F29" s="38">
        <v>14.7</v>
      </c>
      <c r="G29" s="32" t="s">
        <v>15</v>
      </c>
      <c r="H29" s="28"/>
      <c r="J29" s="4">
        <v>-4.42</v>
      </c>
      <c r="K29" s="7"/>
      <c r="L29" s="9" t="s">
        <v>13</v>
      </c>
      <c r="N29" s="4">
        <v>-28.7</v>
      </c>
      <c r="O29" s="7"/>
      <c r="P29" s="34" t="s">
        <v>13</v>
      </c>
      <c r="R29" s="10">
        <f t="shared" si="1"/>
        <v>6.66</v>
      </c>
    </row>
    <row r="30" spans="1:18" ht="14.4" x14ac:dyDescent="0.3">
      <c r="A30" s="27" t="s">
        <v>12</v>
      </c>
      <c r="B30" s="3">
        <v>2018</v>
      </c>
      <c r="C30" s="21">
        <v>5</v>
      </c>
      <c r="D30" s="37">
        <v>136</v>
      </c>
      <c r="E30" s="32" t="s">
        <v>15</v>
      </c>
      <c r="F30" s="38">
        <v>17.3</v>
      </c>
      <c r="G30" s="32" t="s">
        <v>15</v>
      </c>
      <c r="H30" s="28"/>
      <c r="J30" s="4">
        <v>-6.58</v>
      </c>
      <c r="K30" s="7"/>
      <c r="L30" s="9" t="s">
        <v>13</v>
      </c>
      <c r="N30" s="4">
        <v>-43</v>
      </c>
      <c r="O30" s="7"/>
      <c r="P30" s="34" t="s">
        <v>13</v>
      </c>
      <c r="R30" s="10">
        <f t="shared" si="1"/>
        <v>9.64</v>
      </c>
    </row>
    <row r="31" spans="1:18" ht="14.4" x14ac:dyDescent="0.3">
      <c r="A31" s="27" t="s">
        <v>12</v>
      </c>
      <c r="B31" s="3">
        <v>2018</v>
      </c>
      <c r="C31" s="21">
        <v>6</v>
      </c>
      <c r="D31" s="37">
        <v>174</v>
      </c>
      <c r="E31" s="32" t="s">
        <v>15</v>
      </c>
      <c r="F31" s="38">
        <v>19.899999999999999</v>
      </c>
      <c r="G31" s="32" t="s">
        <v>15</v>
      </c>
      <c r="H31" s="28"/>
      <c r="J31" s="4">
        <v>-6.99</v>
      </c>
      <c r="K31" s="7"/>
      <c r="L31" s="9" t="s">
        <v>13</v>
      </c>
      <c r="N31" s="4">
        <v>-47.6</v>
      </c>
      <c r="O31" s="7"/>
      <c r="P31" s="34" t="s">
        <v>13</v>
      </c>
      <c r="R31" s="10">
        <f t="shared" si="1"/>
        <v>8.32</v>
      </c>
    </row>
    <row r="32" spans="1:18" ht="14.4" x14ac:dyDescent="0.3">
      <c r="A32" s="27" t="s">
        <v>12</v>
      </c>
      <c r="B32" s="3">
        <v>2018</v>
      </c>
      <c r="C32" s="21">
        <v>7</v>
      </c>
      <c r="D32" s="37">
        <v>48</v>
      </c>
      <c r="E32" s="32" t="s">
        <v>15</v>
      </c>
      <c r="F32" s="38">
        <v>21.4</v>
      </c>
      <c r="G32" s="32" t="s">
        <v>15</v>
      </c>
      <c r="H32" s="28"/>
      <c r="J32" s="4">
        <v>-4.2</v>
      </c>
      <c r="K32" s="7"/>
      <c r="L32" s="9" t="s">
        <v>13</v>
      </c>
      <c r="N32" s="4">
        <v>-29.7</v>
      </c>
      <c r="O32" s="7"/>
      <c r="P32" s="34" t="s">
        <v>13</v>
      </c>
      <c r="R32" s="10">
        <f t="shared" si="1"/>
        <v>3.9000000000000021</v>
      </c>
    </row>
    <row r="33" spans="1:18" ht="14.4" x14ac:dyDescent="0.3">
      <c r="A33" s="27" t="s">
        <v>12</v>
      </c>
      <c r="B33" s="3">
        <v>2018</v>
      </c>
      <c r="C33" s="21">
        <v>8</v>
      </c>
      <c r="D33" s="37">
        <v>116</v>
      </c>
      <c r="E33" s="32" t="s">
        <v>15</v>
      </c>
      <c r="F33" s="38">
        <v>21.6</v>
      </c>
      <c r="G33" s="32" t="s">
        <v>15</v>
      </c>
      <c r="H33" s="28"/>
      <c r="J33" s="4">
        <v>-5.75</v>
      </c>
      <c r="K33" s="7"/>
      <c r="L33" s="9" t="s">
        <v>13</v>
      </c>
      <c r="N33" s="4">
        <v>-36.700000000000003</v>
      </c>
      <c r="O33" s="7"/>
      <c r="P33" s="34" t="s">
        <v>13</v>
      </c>
      <c r="R33" s="10">
        <f t="shared" si="1"/>
        <v>9.2999999999999972</v>
      </c>
    </row>
    <row r="34" spans="1:18" ht="14.4" x14ac:dyDescent="0.3">
      <c r="A34" s="27" t="s">
        <v>12</v>
      </c>
      <c r="B34" s="3">
        <v>2018</v>
      </c>
      <c r="C34" s="21">
        <v>9</v>
      </c>
      <c r="D34" s="37">
        <v>80</v>
      </c>
      <c r="E34" s="32" t="s">
        <v>15</v>
      </c>
      <c r="F34" s="38">
        <v>16.899999999999999</v>
      </c>
      <c r="G34" s="32" t="s">
        <v>15</v>
      </c>
      <c r="H34" s="28"/>
      <c r="J34" s="4">
        <v>-5.7</v>
      </c>
      <c r="K34" s="7"/>
      <c r="L34" s="9" t="s">
        <v>13</v>
      </c>
      <c r="N34" s="4">
        <v>-35.299999999999997</v>
      </c>
      <c r="O34" s="7"/>
      <c r="P34" s="34" t="s">
        <v>13</v>
      </c>
      <c r="R34" s="10">
        <f t="shared" si="1"/>
        <v>10.300000000000004</v>
      </c>
    </row>
    <row r="35" spans="1:18" ht="14.4" x14ac:dyDescent="0.3">
      <c r="A35" s="27" t="s">
        <v>12</v>
      </c>
      <c r="B35" s="3">
        <v>2018</v>
      </c>
      <c r="C35" s="21">
        <v>10</v>
      </c>
      <c r="D35" s="37">
        <v>22</v>
      </c>
      <c r="E35" s="32" t="s">
        <v>15</v>
      </c>
      <c r="F35" s="38">
        <v>11.9</v>
      </c>
      <c r="G35" s="32" t="s">
        <v>15</v>
      </c>
      <c r="H35" s="28"/>
      <c r="J35" s="4">
        <v>-4.28</v>
      </c>
      <c r="K35" s="7"/>
      <c r="L35" s="9" t="s">
        <v>13</v>
      </c>
      <c r="N35" s="4">
        <v>-22.8</v>
      </c>
      <c r="O35" s="7"/>
      <c r="P35" s="34" t="s">
        <v>13</v>
      </c>
      <c r="R35" s="10">
        <f t="shared" si="1"/>
        <v>11.440000000000001</v>
      </c>
    </row>
    <row r="36" spans="1:18" ht="14.4" x14ac:dyDescent="0.3">
      <c r="A36" s="27" t="s">
        <v>12</v>
      </c>
      <c r="B36" s="3">
        <v>2018</v>
      </c>
      <c r="C36" s="21">
        <v>11</v>
      </c>
      <c r="D36" s="37">
        <v>51</v>
      </c>
      <c r="E36" s="32" t="s">
        <v>15</v>
      </c>
      <c r="F36" s="38">
        <v>7.1</v>
      </c>
      <c r="G36" s="32" t="s">
        <v>15</v>
      </c>
      <c r="H36" s="28"/>
      <c r="J36" s="4">
        <v>-14.68</v>
      </c>
      <c r="K36" s="7"/>
      <c r="L36" s="9" t="s">
        <v>13</v>
      </c>
      <c r="N36" s="4">
        <v>-105.9</v>
      </c>
      <c r="O36" s="7"/>
      <c r="P36" s="34" t="s">
        <v>13</v>
      </c>
      <c r="R36" s="10">
        <f t="shared" si="1"/>
        <v>11.539999999999992</v>
      </c>
    </row>
    <row r="37" spans="1:18" ht="14.4" x14ac:dyDescent="0.3">
      <c r="A37" s="27" t="s">
        <v>12</v>
      </c>
      <c r="B37" s="3">
        <v>2018</v>
      </c>
      <c r="C37" s="21">
        <v>12</v>
      </c>
      <c r="D37" s="37">
        <v>12</v>
      </c>
      <c r="E37" s="32" t="s">
        <v>15</v>
      </c>
      <c r="F37" s="38">
        <v>1.6</v>
      </c>
      <c r="G37" s="32" t="s">
        <v>15</v>
      </c>
      <c r="H37" s="28"/>
      <c r="J37" s="4">
        <v>-14.83</v>
      </c>
      <c r="K37" s="7"/>
      <c r="L37" s="9" t="s">
        <v>13</v>
      </c>
      <c r="N37" s="4">
        <v>-111.5</v>
      </c>
      <c r="O37" s="7"/>
      <c r="P37" s="34" t="s">
        <v>13</v>
      </c>
      <c r="R37" s="10">
        <f t="shared" si="1"/>
        <v>7.1400000000000006</v>
      </c>
    </row>
    <row r="38" spans="1:18" ht="14.4" x14ac:dyDescent="0.3">
      <c r="A38" s="27" t="s">
        <v>12</v>
      </c>
      <c r="B38" s="3">
        <v>2019</v>
      </c>
      <c r="C38" s="22">
        <v>1</v>
      </c>
      <c r="D38" s="37">
        <v>12</v>
      </c>
      <c r="E38" s="32" t="s">
        <v>15</v>
      </c>
      <c r="F38" s="38">
        <v>0.3</v>
      </c>
      <c r="G38" s="32" t="s">
        <v>15</v>
      </c>
      <c r="H38" s="28"/>
      <c r="J38" s="4">
        <v>-15.45</v>
      </c>
      <c r="K38" s="7"/>
      <c r="L38" s="9" t="s">
        <v>14</v>
      </c>
      <c r="N38" s="4">
        <v>-113.7</v>
      </c>
      <c r="O38" s="7"/>
      <c r="P38" s="34" t="s">
        <v>14</v>
      </c>
      <c r="R38" s="10">
        <f t="shared" si="1"/>
        <v>9.8999999999999915</v>
      </c>
    </row>
    <row r="39" spans="1:18" ht="14.4" x14ac:dyDescent="0.3">
      <c r="A39" s="27" t="s">
        <v>12</v>
      </c>
      <c r="B39" s="3">
        <v>2019</v>
      </c>
      <c r="C39" s="22">
        <v>2</v>
      </c>
      <c r="D39" s="37">
        <v>6</v>
      </c>
      <c r="E39" s="32" t="s">
        <v>15</v>
      </c>
      <c r="F39" s="38">
        <v>4.4000000000000004</v>
      </c>
      <c r="G39" s="32" t="s">
        <v>15</v>
      </c>
      <c r="H39" s="28"/>
      <c r="J39" s="4">
        <v>-9.49</v>
      </c>
      <c r="K39" s="7"/>
      <c r="L39" s="9" t="s">
        <v>14</v>
      </c>
      <c r="N39" s="4">
        <v>-70.599999999999994</v>
      </c>
      <c r="O39" s="7"/>
      <c r="P39" s="34" t="s">
        <v>14</v>
      </c>
      <c r="R39" s="10">
        <f t="shared" si="1"/>
        <v>5.3200000000000074</v>
      </c>
    </row>
    <row r="40" spans="1:18" ht="14.4" x14ac:dyDescent="0.3">
      <c r="A40" s="27" t="s">
        <v>12</v>
      </c>
      <c r="B40" s="3">
        <v>2019</v>
      </c>
      <c r="C40" s="22">
        <v>3</v>
      </c>
      <c r="D40" s="37">
        <v>6</v>
      </c>
      <c r="E40" s="32" t="s">
        <v>15</v>
      </c>
      <c r="F40" s="38">
        <v>8.1999999999999993</v>
      </c>
      <c r="G40" s="32" t="s">
        <v>15</v>
      </c>
      <c r="H40" s="28"/>
      <c r="J40" s="4">
        <v>-6.52</v>
      </c>
      <c r="K40" s="7"/>
      <c r="L40" s="9" t="s">
        <v>14</v>
      </c>
      <c r="N40" s="4">
        <v>-46.8</v>
      </c>
      <c r="O40" s="7"/>
      <c r="P40" s="34" t="s">
        <v>14</v>
      </c>
      <c r="R40" s="10">
        <f t="shared" si="1"/>
        <v>5.3599999999999994</v>
      </c>
    </row>
    <row r="41" spans="1:18" ht="14.4" x14ac:dyDescent="0.3">
      <c r="A41" s="27" t="s">
        <v>12</v>
      </c>
      <c r="B41" s="3">
        <v>2019</v>
      </c>
      <c r="C41" s="22">
        <v>4</v>
      </c>
      <c r="D41" s="37">
        <v>57</v>
      </c>
      <c r="E41" s="32" t="s">
        <v>15</v>
      </c>
      <c r="F41" s="38">
        <v>11.6</v>
      </c>
      <c r="G41" s="32" t="s">
        <v>15</v>
      </c>
      <c r="H41" s="28"/>
      <c r="J41" s="4">
        <v>-8.24</v>
      </c>
      <c r="K41" s="7"/>
      <c r="L41" s="9" t="s">
        <v>14</v>
      </c>
      <c r="N41" s="4">
        <v>-56.9</v>
      </c>
      <c r="O41" s="7"/>
      <c r="P41" s="34" t="s">
        <v>14</v>
      </c>
      <c r="R41" s="10">
        <f t="shared" si="1"/>
        <v>9.0200000000000031</v>
      </c>
    </row>
    <row r="42" spans="1:18" ht="14.4" x14ac:dyDescent="0.3">
      <c r="A42" s="27" t="s">
        <v>12</v>
      </c>
      <c r="B42" s="3">
        <v>2019</v>
      </c>
      <c r="C42" s="22">
        <v>5</v>
      </c>
      <c r="D42" s="37">
        <v>90</v>
      </c>
      <c r="E42" s="32" t="s">
        <v>15</v>
      </c>
      <c r="F42" s="38">
        <v>13</v>
      </c>
      <c r="G42" s="32" t="s">
        <v>15</v>
      </c>
      <c r="H42" s="28"/>
      <c r="J42" s="4">
        <v>-9.18</v>
      </c>
      <c r="K42" s="7"/>
      <c r="L42" s="9" t="s">
        <v>14</v>
      </c>
      <c r="N42" s="4">
        <v>-69.900000000000006</v>
      </c>
      <c r="O42" s="7"/>
      <c r="P42" s="34" t="s">
        <v>14</v>
      </c>
      <c r="R42" s="10">
        <f t="shared" si="1"/>
        <v>3.539999999999992</v>
      </c>
    </row>
    <row r="43" spans="1:18" ht="14.4" x14ac:dyDescent="0.3">
      <c r="A43" s="27" t="s">
        <v>12</v>
      </c>
      <c r="B43" s="3">
        <v>2019</v>
      </c>
      <c r="C43" s="22">
        <v>6</v>
      </c>
      <c r="D43" s="37">
        <v>66</v>
      </c>
      <c r="E43" s="32" t="s">
        <v>15</v>
      </c>
      <c r="F43" s="38">
        <v>22.6</v>
      </c>
      <c r="G43" s="32" t="s">
        <v>15</v>
      </c>
      <c r="H43" s="28"/>
      <c r="J43" s="4">
        <v>-6.12</v>
      </c>
      <c r="K43" s="7"/>
      <c r="L43" s="9" t="s">
        <v>14</v>
      </c>
      <c r="N43" s="4">
        <v>-39.299999999999997</v>
      </c>
      <c r="O43" s="7"/>
      <c r="P43" s="34" t="s">
        <v>14</v>
      </c>
      <c r="R43" s="10">
        <f t="shared" si="1"/>
        <v>9.6600000000000037</v>
      </c>
    </row>
    <row r="44" spans="1:18" ht="14.4" x14ac:dyDescent="0.3">
      <c r="A44" s="27" t="s">
        <v>12</v>
      </c>
      <c r="B44" s="3">
        <v>2019</v>
      </c>
      <c r="C44" s="22">
        <v>7</v>
      </c>
      <c r="D44" s="37">
        <v>86</v>
      </c>
      <c r="E44" s="32" t="s">
        <v>15</v>
      </c>
      <c r="F44" s="38">
        <v>21.7</v>
      </c>
      <c r="G44" s="32" t="s">
        <v>15</v>
      </c>
      <c r="H44" s="28"/>
      <c r="J44" s="4">
        <v>-4.68</v>
      </c>
      <c r="K44" s="7"/>
      <c r="L44" s="9" t="s">
        <v>14</v>
      </c>
      <c r="N44" s="4">
        <v>-31.2</v>
      </c>
      <c r="O44" s="7"/>
      <c r="P44" s="34" t="s">
        <v>14</v>
      </c>
      <c r="R44" s="10">
        <f t="shared" si="1"/>
        <v>6.2399999999999984</v>
      </c>
    </row>
    <row r="45" spans="1:18" ht="14.4" x14ac:dyDescent="0.3">
      <c r="A45" s="27" t="s">
        <v>12</v>
      </c>
      <c r="B45" s="3">
        <v>2019</v>
      </c>
      <c r="C45" s="22">
        <v>8</v>
      </c>
      <c r="D45" s="37">
        <v>68</v>
      </c>
      <c r="E45" s="32" t="s">
        <v>15</v>
      </c>
      <c r="F45" s="38">
        <v>21.9</v>
      </c>
      <c r="G45" s="32" t="s">
        <v>15</v>
      </c>
      <c r="H45" s="28"/>
      <c r="J45" s="4">
        <v>-4.1100000000000003</v>
      </c>
      <c r="K45" s="7"/>
      <c r="L45" s="9" t="s">
        <v>14</v>
      </c>
      <c r="N45" s="4">
        <v>-24</v>
      </c>
      <c r="O45" s="7"/>
      <c r="P45" s="34" t="s">
        <v>14</v>
      </c>
      <c r="R45" s="10">
        <f t="shared" si="1"/>
        <v>8.8800000000000026</v>
      </c>
    </row>
    <row r="46" spans="1:18" ht="14.4" x14ac:dyDescent="0.3">
      <c r="A46" s="27" t="s">
        <v>12</v>
      </c>
      <c r="B46" s="3">
        <v>2019</v>
      </c>
      <c r="C46" s="22">
        <v>9</v>
      </c>
      <c r="D46" s="37">
        <v>80</v>
      </c>
      <c r="E46" s="32" t="s">
        <v>15</v>
      </c>
      <c r="F46" s="38">
        <v>16.2</v>
      </c>
      <c r="G46" s="32" t="s">
        <v>15</v>
      </c>
      <c r="H46" s="28"/>
      <c r="J46" s="11">
        <v>-5.72</v>
      </c>
      <c r="K46" s="8"/>
      <c r="L46" s="9" t="s">
        <v>14</v>
      </c>
      <c r="N46" s="11">
        <v>-33.1</v>
      </c>
      <c r="O46" s="8"/>
      <c r="P46" s="30" t="s">
        <v>14</v>
      </c>
      <c r="R46" s="10">
        <f t="shared" si="1"/>
        <v>12.659999999999997</v>
      </c>
    </row>
    <row r="47" spans="1:18" ht="14.4" x14ac:dyDescent="0.3">
      <c r="A47" s="27" t="s">
        <v>12</v>
      </c>
      <c r="B47" s="3">
        <v>2019</v>
      </c>
      <c r="C47" s="22">
        <v>10</v>
      </c>
      <c r="D47" s="37">
        <v>24</v>
      </c>
      <c r="E47" s="32" t="s">
        <v>15</v>
      </c>
      <c r="F47" s="38">
        <v>12</v>
      </c>
      <c r="G47" s="32" t="s">
        <v>15</v>
      </c>
      <c r="H47" s="28"/>
      <c r="J47" s="4">
        <v>-8.4700000000000006</v>
      </c>
      <c r="K47" s="7"/>
      <c r="L47" s="9" t="s">
        <v>14</v>
      </c>
      <c r="N47" s="4">
        <v>-60</v>
      </c>
      <c r="O47" s="7"/>
      <c r="P47" s="34" t="s">
        <v>14</v>
      </c>
      <c r="R47" s="10">
        <f t="shared" si="1"/>
        <v>7.7600000000000051</v>
      </c>
    </row>
    <row r="48" spans="1:18" ht="14.4" x14ac:dyDescent="0.3">
      <c r="A48" s="27" t="s">
        <v>12</v>
      </c>
      <c r="B48" s="3">
        <v>2019</v>
      </c>
      <c r="C48" s="22">
        <v>11</v>
      </c>
      <c r="D48" s="37">
        <v>121</v>
      </c>
      <c r="E48" s="32" t="s">
        <v>15</v>
      </c>
      <c r="F48" s="38">
        <v>7.2</v>
      </c>
      <c r="G48" s="32" t="s">
        <v>15</v>
      </c>
      <c r="H48" s="28"/>
      <c r="J48" s="4">
        <v>-10.99</v>
      </c>
      <c r="K48" s="7"/>
      <c r="L48" s="9" t="s">
        <v>14</v>
      </c>
      <c r="N48" s="4">
        <v>-72.900000000000006</v>
      </c>
      <c r="O48" s="7"/>
      <c r="P48" s="34" t="s">
        <v>14</v>
      </c>
      <c r="R48" s="10">
        <f t="shared" si="1"/>
        <v>15.019999999999996</v>
      </c>
    </row>
    <row r="49" spans="1:18" ht="14.4" x14ac:dyDescent="0.3">
      <c r="A49" s="27" t="s">
        <v>12</v>
      </c>
      <c r="B49" s="3">
        <v>2019</v>
      </c>
      <c r="C49" s="22">
        <v>12</v>
      </c>
      <c r="D49" s="37">
        <v>27</v>
      </c>
      <c r="E49" s="32" t="s">
        <v>15</v>
      </c>
      <c r="F49" s="38">
        <v>2.8</v>
      </c>
      <c r="G49" s="32" t="s">
        <v>15</v>
      </c>
      <c r="H49" s="28"/>
      <c r="J49" s="4">
        <v>-13.89</v>
      </c>
      <c r="K49" s="7"/>
      <c r="L49" s="9" t="s">
        <v>14</v>
      </c>
      <c r="N49" s="4">
        <v>-103.7</v>
      </c>
      <c r="O49" s="7"/>
      <c r="P49" s="34" t="s">
        <v>14</v>
      </c>
      <c r="R49" s="10">
        <f t="shared" si="1"/>
        <v>7.4200000000000017</v>
      </c>
    </row>
    <row r="50" spans="1:18" ht="14.4" x14ac:dyDescent="0.3">
      <c r="A50" s="27" t="s">
        <v>12</v>
      </c>
      <c r="B50" s="3">
        <v>2020</v>
      </c>
      <c r="C50" s="22">
        <v>1</v>
      </c>
      <c r="D50" s="37">
        <v>2</v>
      </c>
      <c r="E50" s="32" t="s">
        <v>15</v>
      </c>
      <c r="F50" s="38">
        <v>0.4</v>
      </c>
      <c r="G50" s="32" t="s">
        <v>15</v>
      </c>
      <c r="H50" s="28"/>
      <c r="J50" s="4">
        <v>-12.32</v>
      </c>
      <c r="K50" s="7"/>
      <c r="L50" s="9" t="s">
        <v>14</v>
      </c>
      <c r="N50" s="4">
        <v>-89.4</v>
      </c>
      <c r="O50" s="7"/>
      <c r="P50" s="34" t="s">
        <v>14</v>
      </c>
      <c r="R50" s="10">
        <f t="shared" si="1"/>
        <v>9.1599999999999966</v>
      </c>
    </row>
    <row r="51" spans="1:18" ht="14.4" x14ac:dyDescent="0.3">
      <c r="A51" s="27" t="s">
        <v>12</v>
      </c>
      <c r="B51" s="3">
        <v>2020</v>
      </c>
      <c r="C51" s="22">
        <v>2</v>
      </c>
      <c r="D51" s="37">
        <v>8</v>
      </c>
      <c r="E51" s="32" t="s">
        <v>15</v>
      </c>
      <c r="F51" s="38">
        <v>5.2</v>
      </c>
      <c r="G51" s="32" t="s">
        <v>15</v>
      </c>
      <c r="H51" s="29"/>
      <c r="J51" s="4">
        <v>-7.48</v>
      </c>
      <c r="K51" s="7"/>
      <c r="L51" s="9" t="s">
        <v>14</v>
      </c>
      <c r="M51" s="19"/>
      <c r="N51" s="4">
        <v>-55.8</v>
      </c>
      <c r="O51" s="7"/>
      <c r="P51" s="30" t="s">
        <v>14</v>
      </c>
      <c r="Q51" s="19"/>
      <c r="R51" s="10">
        <f t="shared" si="1"/>
        <v>4.0400000000000063</v>
      </c>
    </row>
    <row r="52" spans="1:18" ht="14.4" x14ac:dyDescent="0.3">
      <c r="A52" s="27" t="s">
        <v>12</v>
      </c>
      <c r="B52" s="3">
        <v>2020</v>
      </c>
      <c r="C52" s="22">
        <v>3</v>
      </c>
      <c r="D52" s="37">
        <v>20</v>
      </c>
      <c r="E52" s="32" t="s">
        <v>15</v>
      </c>
      <c r="F52" s="38">
        <v>6.5</v>
      </c>
      <c r="G52" s="32" t="s">
        <v>15</v>
      </c>
      <c r="H52" s="29"/>
      <c r="J52" s="4">
        <v>-9.51</v>
      </c>
      <c r="K52" s="7"/>
      <c r="L52" s="9" t="s">
        <v>14</v>
      </c>
      <c r="M52" s="19"/>
      <c r="N52" s="4">
        <v>-70.5</v>
      </c>
      <c r="O52" s="7"/>
      <c r="P52" s="30" t="s">
        <v>14</v>
      </c>
      <c r="Q52" s="19"/>
      <c r="R52" s="10">
        <f t="shared" si="1"/>
        <v>5.5799999999999983</v>
      </c>
    </row>
    <row r="53" spans="1:18" ht="14.4" x14ac:dyDescent="0.3">
      <c r="A53" s="27" t="s">
        <v>12</v>
      </c>
      <c r="B53" s="3">
        <v>2020</v>
      </c>
      <c r="C53" s="22">
        <v>4</v>
      </c>
      <c r="D53" s="37">
        <v>43</v>
      </c>
      <c r="E53" s="32" t="s">
        <v>15</v>
      </c>
      <c r="F53" s="38">
        <v>11.7</v>
      </c>
      <c r="G53" s="32" t="s">
        <v>15</v>
      </c>
      <c r="H53" s="29"/>
      <c r="J53" s="4">
        <v>-5.89</v>
      </c>
      <c r="K53" s="7"/>
      <c r="L53" s="9" t="s">
        <v>14</v>
      </c>
      <c r="M53" s="19"/>
      <c r="N53" s="4">
        <v>-38.799999999999997</v>
      </c>
      <c r="O53" s="7"/>
      <c r="P53" s="30" t="s">
        <v>14</v>
      </c>
      <c r="Q53" s="19"/>
      <c r="R53" s="10">
        <f t="shared" si="1"/>
        <v>8.32</v>
      </c>
    </row>
    <row r="54" spans="1:18" ht="14.4" x14ac:dyDescent="0.3">
      <c r="A54" s="27" t="s">
        <v>12</v>
      </c>
      <c r="B54" s="3">
        <v>2020</v>
      </c>
      <c r="C54" s="22">
        <v>5</v>
      </c>
      <c r="D54" s="37">
        <v>46</v>
      </c>
      <c r="E54" s="32" t="s">
        <v>15</v>
      </c>
      <c r="F54" s="38">
        <v>14.7</v>
      </c>
      <c r="G54" s="32" t="s">
        <v>15</v>
      </c>
      <c r="H54" s="29"/>
      <c r="J54" s="4">
        <v>-6.75</v>
      </c>
      <c r="K54" s="7"/>
      <c r="L54" s="9" t="s">
        <v>14</v>
      </c>
      <c r="M54" s="19"/>
      <c r="N54" s="4">
        <v>-46.8</v>
      </c>
      <c r="O54" s="7"/>
      <c r="P54" s="30" t="s">
        <v>14</v>
      </c>
      <c r="Q54" s="19"/>
      <c r="R54" s="10">
        <f t="shared" si="1"/>
        <v>7.2000000000000028</v>
      </c>
    </row>
    <row r="55" spans="1:18" ht="14.4" x14ac:dyDescent="0.3">
      <c r="A55" s="27" t="s">
        <v>12</v>
      </c>
      <c r="B55" s="3">
        <v>2020</v>
      </c>
      <c r="C55" s="22">
        <v>6</v>
      </c>
      <c r="D55" s="37">
        <v>119</v>
      </c>
      <c r="E55" s="32" t="s">
        <v>15</v>
      </c>
      <c r="F55" s="38">
        <v>19</v>
      </c>
      <c r="G55" s="32" t="s">
        <v>15</v>
      </c>
      <c r="H55" s="29"/>
      <c r="J55" s="4">
        <v>-6.51</v>
      </c>
      <c r="K55" s="7"/>
      <c r="L55" s="9" t="s">
        <v>14</v>
      </c>
      <c r="M55" s="19"/>
      <c r="N55" s="4">
        <v>-44.7</v>
      </c>
      <c r="O55" s="7"/>
      <c r="P55" s="30" t="s">
        <v>14</v>
      </c>
      <c r="Q55" s="19"/>
      <c r="R55" s="10">
        <f t="shared" si="1"/>
        <v>7.3799999999999955</v>
      </c>
    </row>
    <row r="56" spans="1:18" ht="14.4" x14ac:dyDescent="0.3">
      <c r="A56" s="27" t="s">
        <v>12</v>
      </c>
      <c r="B56" s="3">
        <v>2020</v>
      </c>
      <c r="C56" s="22">
        <v>7</v>
      </c>
      <c r="D56" s="37">
        <v>170</v>
      </c>
      <c r="E56" s="32" t="s">
        <v>15</v>
      </c>
      <c r="F56" s="38">
        <v>20.3</v>
      </c>
      <c r="G56" s="32" t="s">
        <v>15</v>
      </c>
      <c r="H56" s="29"/>
      <c r="J56" s="4">
        <v>-6.52</v>
      </c>
      <c r="K56" s="7"/>
      <c r="L56" s="9" t="s">
        <v>14</v>
      </c>
      <c r="M56" s="19"/>
      <c r="N56" s="4">
        <v>-43.6</v>
      </c>
      <c r="O56" s="7"/>
      <c r="P56" s="30" t="s">
        <v>14</v>
      </c>
      <c r="Q56" s="19"/>
      <c r="R56" s="10">
        <f t="shared" si="1"/>
        <v>8.5599999999999952</v>
      </c>
    </row>
    <row r="57" spans="1:18" ht="14.4" x14ac:dyDescent="0.3">
      <c r="A57" s="27" t="s">
        <v>12</v>
      </c>
      <c r="B57" s="3">
        <v>2020</v>
      </c>
      <c r="C57" s="22">
        <v>8</v>
      </c>
      <c r="D57" s="37">
        <v>201</v>
      </c>
      <c r="E57" s="32" t="s">
        <v>15</v>
      </c>
      <c r="F57" s="38">
        <v>21.2</v>
      </c>
      <c r="G57" s="32" t="s">
        <v>15</v>
      </c>
      <c r="H57" s="29"/>
      <c r="J57" s="4">
        <v>-7.6</v>
      </c>
      <c r="K57" s="7"/>
      <c r="L57" s="9" t="s">
        <v>14</v>
      </c>
      <c r="M57" s="19"/>
      <c r="N57" s="4">
        <v>-50.4</v>
      </c>
      <c r="O57" s="7"/>
      <c r="P57" s="30" t="s">
        <v>14</v>
      </c>
      <c r="Q57" s="19"/>
      <c r="R57" s="10">
        <f t="shared" si="1"/>
        <v>10.399999999999999</v>
      </c>
    </row>
    <row r="58" spans="1:18" ht="14.4" x14ac:dyDescent="0.3">
      <c r="A58" s="27" t="s">
        <v>12</v>
      </c>
      <c r="B58" s="3">
        <v>2020</v>
      </c>
      <c r="C58" s="22">
        <v>9</v>
      </c>
      <c r="D58" s="37">
        <v>143</v>
      </c>
      <c r="E58" s="32" t="s">
        <v>15</v>
      </c>
      <c r="F58" s="38">
        <v>16.3</v>
      </c>
      <c r="G58" s="32" t="s">
        <v>15</v>
      </c>
      <c r="H58" s="29"/>
      <c r="J58" s="4">
        <v>-8.91</v>
      </c>
      <c r="K58" s="7"/>
      <c r="L58" s="9" t="s">
        <v>14</v>
      </c>
      <c r="M58" s="19"/>
      <c r="N58" s="4">
        <v>-58.9</v>
      </c>
      <c r="O58" s="7"/>
      <c r="P58" s="30" t="s">
        <v>14</v>
      </c>
      <c r="Q58" s="19"/>
      <c r="R58" s="10">
        <f t="shared" si="1"/>
        <v>12.380000000000003</v>
      </c>
    </row>
    <row r="59" spans="1:18" ht="14.4" x14ac:dyDescent="0.3">
      <c r="A59" s="27" t="s">
        <v>12</v>
      </c>
      <c r="B59" s="3">
        <v>2020</v>
      </c>
      <c r="C59" s="22">
        <v>10</v>
      </c>
      <c r="D59" s="37">
        <v>63</v>
      </c>
      <c r="E59" s="32" t="s">
        <v>15</v>
      </c>
      <c r="F59" s="38">
        <v>10.6</v>
      </c>
      <c r="G59" s="32" t="s">
        <v>15</v>
      </c>
      <c r="H59" s="29"/>
      <c r="J59" s="4">
        <v>-11.73</v>
      </c>
      <c r="K59" s="7"/>
      <c r="L59" s="9" t="s">
        <v>14</v>
      </c>
      <c r="M59" s="19"/>
      <c r="N59" s="4">
        <v>-84.7</v>
      </c>
      <c r="O59" s="7"/>
      <c r="P59" s="30" t="s">
        <v>14</v>
      </c>
      <c r="Q59" s="19"/>
      <c r="R59" s="10">
        <f t="shared" si="1"/>
        <v>9.14</v>
      </c>
    </row>
    <row r="60" spans="1:18" ht="14.4" x14ac:dyDescent="0.3">
      <c r="A60" s="27" t="s">
        <v>12</v>
      </c>
      <c r="B60" s="3">
        <v>2020</v>
      </c>
      <c r="C60" s="22">
        <v>11</v>
      </c>
      <c r="D60" s="37">
        <v>22</v>
      </c>
      <c r="E60" s="32" t="s">
        <v>15</v>
      </c>
      <c r="F60" s="38">
        <v>4.3</v>
      </c>
      <c r="G60" s="32" t="s">
        <v>15</v>
      </c>
      <c r="H60" s="29"/>
      <c r="J60" s="4">
        <v>-11.66</v>
      </c>
      <c r="K60" s="7"/>
      <c r="L60" s="9" t="s">
        <v>14</v>
      </c>
      <c r="M60" s="19"/>
      <c r="N60" s="4">
        <v>-86.6</v>
      </c>
      <c r="O60" s="7"/>
      <c r="P60" s="30" t="s">
        <v>14</v>
      </c>
      <c r="Q60" s="19"/>
      <c r="R60" s="10">
        <f t="shared" si="1"/>
        <v>6.6800000000000068</v>
      </c>
    </row>
    <row r="61" spans="1:18" ht="14.4" x14ac:dyDescent="0.3">
      <c r="A61" s="27" t="s">
        <v>12</v>
      </c>
      <c r="B61" s="3">
        <v>2020</v>
      </c>
      <c r="C61" s="22">
        <v>12</v>
      </c>
      <c r="D61" s="37">
        <v>88</v>
      </c>
      <c r="E61" s="32" t="s">
        <v>15</v>
      </c>
      <c r="F61" s="38">
        <v>1.5</v>
      </c>
      <c r="G61" s="32" t="s">
        <v>15</v>
      </c>
      <c r="H61" s="29"/>
      <c r="J61" s="4">
        <v>-15.44</v>
      </c>
      <c r="K61" s="7"/>
      <c r="L61" s="9" t="s">
        <v>14</v>
      </c>
      <c r="M61" s="19"/>
      <c r="N61" s="4">
        <v>-109.2</v>
      </c>
      <c r="O61" s="7"/>
      <c r="P61" s="30" t="s">
        <v>14</v>
      </c>
      <c r="Q61" s="19"/>
      <c r="R61" s="10">
        <f t="shared" si="1"/>
        <v>14.319999999999993</v>
      </c>
    </row>
    <row r="62" spans="1:18" ht="14.4" x14ac:dyDescent="0.3">
      <c r="A62" s="27" t="s">
        <v>12</v>
      </c>
      <c r="B62" s="3">
        <v>2021</v>
      </c>
      <c r="C62" s="22">
        <v>1</v>
      </c>
      <c r="D62" s="37">
        <v>40</v>
      </c>
      <c r="E62" s="32" t="s">
        <v>15</v>
      </c>
      <c r="F62" s="38">
        <v>0.5</v>
      </c>
      <c r="G62" s="32" t="s">
        <v>15</v>
      </c>
      <c r="H62" s="29"/>
      <c r="J62" s="4">
        <v>-14.51</v>
      </c>
      <c r="K62" s="7"/>
      <c r="L62" s="9" t="s">
        <v>14</v>
      </c>
      <c r="M62" s="19"/>
      <c r="N62" s="4">
        <v>-101.1</v>
      </c>
      <c r="O62" s="7"/>
      <c r="P62" s="30" t="s">
        <v>14</v>
      </c>
      <c r="Q62" s="19"/>
      <c r="R62" s="10">
        <f t="shared" si="1"/>
        <v>14.980000000000004</v>
      </c>
    </row>
    <row r="63" spans="1:18" ht="14.4" x14ac:dyDescent="0.3">
      <c r="A63" s="27" t="s">
        <v>12</v>
      </c>
      <c r="B63" s="3">
        <v>2021</v>
      </c>
      <c r="C63" s="22">
        <v>2</v>
      </c>
      <c r="D63" s="37">
        <v>26</v>
      </c>
      <c r="E63" s="32" t="s">
        <v>15</v>
      </c>
      <c r="F63" s="38">
        <v>3.7</v>
      </c>
      <c r="G63" s="32" t="s">
        <v>15</v>
      </c>
      <c r="H63" s="29"/>
      <c r="J63" s="4">
        <v>-11.91</v>
      </c>
      <c r="K63" s="7"/>
      <c r="L63" s="9" t="s">
        <v>14</v>
      </c>
      <c r="M63" s="19"/>
      <c r="N63" s="4">
        <v>-85.1</v>
      </c>
      <c r="O63" s="7"/>
      <c r="P63" s="30" t="s">
        <v>14</v>
      </c>
      <c r="Q63" s="19"/>
      <c r="R63" s="10">
        <f t="shared" si="1"/>
        <v>10.180000000000007</v>
      </c>
    </row>
    <row r="64" spans="1:18" ht="14.4" x14ac:dyDescent="0.3">
      <c r="A64" s="27" t="s">
        <v>12</v>
      </c>
      <c r="B64" s="3">
        <v>2021</v>
      </c>
      <c r="C64" s="22">
        <v>3</v>
      </c>
      <c r="D64" s="37">
        <v>16</v>
      </c>
      <c r="E64" s="32" t="s">
        <v>15</v>
      </c>
      <c r="F64" s="38">
        <v>5.3</v>
      </c>
      <c r="G64" s="32" t="s">
        <v>15</v>
      </c>
      <c r="H64" s="29"/>
      <c r="J64" s="4">
        <v>-12.51</v>
      </c>
      <c r="K64" s="7"/>
      <c r="L64" s="9" t="s">
        <v>14</v>
      </c>
      <c r="M64" s="19"/>
      <c r="N64" s="4">
        <v>-90.8</v>
      </c>
      <c r="O64" s="7"/>
      <c r="P64" s="30" t="s">
        <v>14</v>
      </c>
      <c r="Q64" s="19"/>
      <c r="R64" s="10">
        <f t="shared" si="1"/>
        <v>9.2800000000000011</v>
      </c>
    </row>
    <row r="65" spans="1:18" ht="14.4" x14ac:dyDescent="0.3">
      <c r="A65" s="27" t="s">
        <v>12</v>
      </c>
      <c r="B65" s="3">
        <v>2021</v>
      </c>
      <c r="C65" s="22">
        <v>4</v>
      </c>
      <c r="D65" s="37">
        <v>27</v>
      </c>
      <c r="E65" s="32" t="s">
        <v>15</v>
      </c>
      <c r="F65" s="38">
        <v>8.5</v>
      </c>
      <c r="G65" s="32" t="s">
        <v>15</v>
      </c>
      <c r="H65" s="29"/>
      <c r="J65" s="4">
        <v>-6.98</v>
      </c>
      <c r="K65" s="7"/>
      <c r="L65" s="9" t="s">
        <v>14</v>
      </c>
      <c r="M65" s="19"/>
      <c r="N65" s="4">
        <v>-50.3</v>
      </c>
      <c r="O65" s="7"/>
      <c r="P65" s="30" t="s">
        <v>14</v>
      </c>
      <c r="Q65" s="19"/>
      <c r="R65" s="10">
        <f t="shared" si="1"/>
        <v>5.5400000000000063</v>
      </c>
    </row>
    <row r="66" spans="1:18" ht="14.4" x14ac:dyDescent="0.3">
      <c r="A66" s="27" t="s">
        <v>12</v>
      </c>
      <c r="B66" s="3">
        <v>2021</v>
      </c>
      <c r="C66" s="22">
        <v>5</v>
      </c>
      <c r="D66" s="37">
        <v>110</v>
      </c>
      <c r="E66" s="32" t="s">
        <v>15</v>
      </c>
      <c r="F66" s="38">
        <v>13.2</v>
      </c>
      <c r="G66" s="32" t="s">
        <v>15</v>
      </c>
      <c r="H66" s="29"/>
      <c r="J66" s="4">
        <v>-7.2</v>
      </c>
      <c r="K66" s="7"/>
      <c r="L66" s="9" t="s">
        <v>14</v>
      </c>
      <c r="M66" s="19"/>
      <c r="N66" s="4">
        <v>-51</v>
      </c>
      <c r="O66" s="7"/>
      <c r="P66" s="30" t="s">
        <v>14</v>
      </c>
      <c r="Q66" s="19"/>
      <c r="R66" s="10">
        <f t="shared" si="1"/>
        <v>6.6000000000000014</v>
      </c>
    </row>
    <row r="67" spans="1:18" ht="14.4" x14ac:dyDescent="0.3">
      <c r="A67" s="27" t="s">
        <v>12</v>
      </c>
      <c r="B67" s="3">
        <v>2021</v>
      </c>
      <c r="C67" s="22">
        <v>6</v>
      </c>
      <c r="D67" s="37">
        <v>91</v>
      </c>
      <c r="E67" s="32" t="s">
        <v>15</v>
      </c>
      <c r="F67" s="38">
        <v>21.5</v>
      </c>
      <c r="G67" s="32" t="s">
        <v>15</v>
      </c>
      <c r="H67" s="29"/>
      <c r="J67" s="4">
        <v>-6.27</v>
      </c>
      <c r="K67" s="7"/>
      <c r="L67" s="9" t="s">
        <v>14</v>
      </c>
      <c r="M67" s="19"/>
      <c r="N67" s="4">
        <v>-40.799999999999997</v>
      </c>
      <c r="O67" s="7"/>
      <c r="P67" s="30" t="s">
        <v>14</v>
      </c>
      <c r="Q67" s="19"/>
      <c r="R67" s="10">
        <f t="shared" si="1"/>
        <v>9.36</v>
      </c>
    </row>
    <row r="68" spans="1:18" ht="14.4" x14ac:dyDescent="0.3">
      <c r="A68" s="27" t="s">
        <v>12</v>
      </c>
      <c r="B68" s="3">
        <v>2021</v>
      </c>
      <c r="C68" s="22">
        <v>7</v>
      </c>
      <c r="D68" s="37">
        <v>164</v>
      </c>
      <c r="E68" s="32" t="s">
        <v>15</v>
      </c>
      <c r="F68" s="38">
        <v>22.5</v>
      </c>
      <c r="G68" s="32" t="s">
        <v>15</v>
      </c>
      <c r="H68" s="29"/>
      <c r="J68" s="4">
        <v>-5.15</v>
      </c>
      <c r="K68" s="7"/>
      <c r="L68" s="9" t="s">
        <v>14</v>
      </c>
      <c r="M68" s="19"/>
      <c r="N68" s="4">
        <v>-33.200000000000003</v>
      </c>
      <c r="O68" s="7"/>
      <c r="P68" s="30" t="s">
        <v>14</v>
      </c>
      <c r="Q68" s="19"/>
      <c r="R68" s="10">
        <f t="shared" si="1"/>
        <v>8</v>
      </c>
    </row>
    <row r="69" spans="1:18" ht="14.4" x14ac:dyDescent="0.3">
      <c r="A69" s="27" t="s">
        <v>12</v>
      </c>
      <c r="B69" s="3">
        <v>2021</v>
      </c>
      <c r="C69" s="22">
        <v>8</v>
      </c>
      <c r="D69" s="37">
        <v>116</v>
      </c>
      <c r="E69" s="32" t="s">
        <v>15</v>
      </c>
      <c r="F69" s="38">
        <v>19.2</v>
      </c>
      <c r="G69" s="32" t="s">
        <v>15</v>
      </c>
      <c r="H69" s="29"/>
      <c r="J69" s="4">
        <v>-6.27</v>
      </c>
      <c r="K69" s="7"/>
      <c r="L69" s="9" t="s">
        <v>14</v>
      </c>
      <c r="M69" s="19"/>
      <c r="N69" s="4">
        <v>-41</v>
      </c>
      <c r="O69" s="7"/>
      <c r="P69" s="30" t="s">
        <v>14</v>
      </c>
      <c r="Q69" s="19"/>
      <c r="R69" s="10">
        <f t="shared" si="1"/>
        <v>9.1599999999999966</v>
      </c>
    </row>
    <row r="70" spans="1:18" ht="14.4" x14ac:dyDescent="0.3">
      <c r="A70" s="27" t="s">
        <v>12</v>
      </c>
      <c r="B70" s="3">
        <v>2021</v>
      </c>
      <c r="C70" s="22">
        <v>9</v>
      </c>
      <c r="D70" s="37">
        <v>32</v>
      </c>
      <c r="E70" s="32" t="s">
        <v>15</v>
      </c>
      <c r="F70" s="38">
        <v>16.2</v>
      </c>
      <c r="G70" s="32" t="s">
        <v>15</v>
      </c>
      <c r="H70" s="29"/>
      <c r="J70" s="4">
        <v>-6.94</v>
      </c>
      <c r="K70" s="7"/>
      <c r="L70" s="9" t="s">
        <v>14</v>
      </c>
      <c r="M70" s="19"/>
      <c r="N70" s="4">
        <v>-46</v>
      </c>
      <c r="O70" s="7"/>
      <c r="P70" s="30" t="s">
        <v>14</v>
      </c>
      <c r="Q70" s="19"/>
      <c r="R70" s="10">
        <f t="shared" si="1"/>
        <v>9.5200000000000031</v>
      </c>
    </row>
    <row r="71" spans="1:18" ht="14.4" x14ac:dyDescent="0.3">
      <c r="A71" s="27" t="s">
        <v>12</v>
      </c>
      <c r="B71" s="24">
        <v>2021</v>
      </c>
      <c r="C71" s="23">
        <v>10</v>
      </c>
      <c r="D71" s="37">
        <v>31</v>
      </c>
      <c r="E71" s="32" t="s">
        <v>15</v>
      </c>
      <c r="F71" s="38">
        <v>9.1</v>
      </c>
      <c r="G71" s="32" t="s">
        <v>15</v>
      </c>
      <c r="H71" s="29"/>
      <c r="J71" s="4">
        <v>-8.9700000000000006</v>
      </c>
      <c r="K71" s="7"/>
      <c r="L71" s="9" t="s">
        <v>14</v>
      </c>
      <c r="M71" s="19"/>
      <c r="N71" s="4">
        <v>-61.4</v>
      </c>
      <c r="O71" s="7"/>
      <c r="P71" s="30" t="s">
        <v>14</v>
      </c>
      <c r="Q71" s="19"/>
      <c r="R71" s="10">
        <f t="shared" si="1"/>
        <v>10.360000000000007</v>
      </c>
    </row>
    <row r="72" spans="1:18" ht="14.4" x14ac:dyDescent="0.3">
      <c r="A72" s="27" t="s">
        <v>12</v>
      </c>
      <c r="B72" s="24">
        <v>2021</v>
      </c>
      <c r="C72" s="23">
        <v>11</v>
      </c>
      <c r="D72" s="37">
        <v>73</v>
      </c>
      <c r="E72" s="32" t="s">
        <v>15</v>
      </c>
      <c r="F72" s="38">
        <v>4.8</v>
      </c>
      <c r="G72" s="32" t="s">
        <v>15</v>
      </c>
      <c r="H72" s="29"/>
      <c r="J72" s="4">
        <v>-14.73</v>
      </c>
      <c r="K72" s="7"/>
      <c r="L72" s="9" t="s">
        <v>14</v>
      </c>
      <c r="M72" s="19"/>
      <c r="N72" s="4">
        <v>-104.6</v>
      </c>
      <c r="O72" s="7"/>
      <c r="P72" s="30" t="s">
        <v>14</v>
      </c>
      <c r="Q72" s="19"/>
      <c r="R72" s="10">
        <f t="shared" si="1"/>
        <v>13.240000000000009</v>
      </c>
    </row>
    <row r="73" spans="1:18" ht="14.4" x14ac:dyDescent="0.3">
      <c r="A73" s="27" t="s">
        <v>12</v>
      </c>
      <c r="B73" s="24">
        <v>2021</v>
      </c>
      <c r="C73" s="23">
        <v>12</v>
      </c>
      <c r="D73" s="37">
        <v>50</v>
      </c>
      <c r="E73" s="32" t="s">
        <v>15</v>
      </c>
      <c r="F73" s="38">
        <v>1.2</v>
      </c>
      <c r="G73" s="32" t="s">
        <v>15</v>
      </c>
      <c r="H73" s="29"/>
      <c r="J73" s="4">
        <v>-19.52</v>
      </c>
      <c r="K73" s="7"/>
      <c r="L73" s="9" t="s">
        <v>14</v>
      </c>
      <c r="M73" s="19"/>
      <c r="N73" s="4">
        <v>-149</v>
      </c>
      <c r="O73" s="7"/>
      <c r="P73" s="30" t="s">
        <v>14</v>
      </c>
      <c r="Q73" s="19"/>
      <c r="R73" s="10">
        <f t="shared" si="1"/>
        <v>7.1599999999999966</v>
      </c>
    </row>
    <row r="74" spans="1:18" ht="14.4" x14ac:dyDescent="0.3">
      <c r="A74" s="27" t="s">
        <v>12</v>
      </c>
      <c r="B74" s="3">
        <v>2022</v>
      </c>
      <c r="C74" s="22">
        <v>1</v>
      </c>
      <c r="D74" s="37">
        <v>4</v>
      </c>
      <c r="E74" s="32" t="s">
        <v>15</v>
      </c>
      <c r="F74" s="38">
        <v>1.6</v>
      </c>
      <c r="G74" s="32" t="s">
        <v>15</v>
      </c>
      <c r="H74" s="29"/>
      <c r="J74" s="4">
        <v>-8.32</v>
      </c>
      <c r="K74" s="7"/>
      <c r="L74" s="9" t="s">
        <v>14</v>
      </c>
      <c r="M74" s="19"/>
      <c r="N74" s="4">
        <v>-61.5</v>
      </c>
      <c r="O74" s="7"/>
      <c r="P74" s="30" t="s">
        <v>14</v>
      </c>
      <c r="Q74" s="19"/>
      <c r="R74" s="10">
        <f t="shared" si="1"/>
        <v>5.0600000000000023</v>
      </c>
    </row>
    <row r="75" spans="1:18" ht="14.4" x14ac:dyDescent="0.3">
      <c r="A75" s="27" t="s">
        <v>12</v>
      </c>
      <c r="B75" s="3">
        <v>2022</v>
      </c>
      <c r="C75" s="22">
        <v>2</v>
      </c>
      <c r="D75" s="37">
        <v>18</v>
      </c>
      <c r="E75" s="32" t="s">
        <v>15</v>
      </c>
      <c r="F75" s="38">
        <v>4.2</v>
      </c>
      <c r="G75" s="32" t="s">
        <v>15</v>
      </c>
      <c r="H75" s="29"/>
      <c r="J75" s="4">
        <v>-12.41</v>
      </c>
      <c r="K75" s="7"/>
      <c r="L75" s="9" t="s">
        <v>14</v>
      </c>
      <c r="M75" s="19"/>
      <c r="N75" s="4">
        <v>-89.4</v>
      </c>
      <c r="O75" s="7"/>
      <c r="P75" s="30" t="s">
        <v>14</v>
      </c>
      <c r="Q75" s="19"/>
      <c r="R75" s="10">
        <f t="shared" si="1"/>
        <v>9.8799999999999955</v>
      </c>
    </row>
    <row r="76" spans="1:18" ht="14.4" x14ac:dyDescent="0.3">
      <c r="A76" s="27" t="s">
        <v>12</v>
      </c>
      <c r="B76" s="3">
        <v>2022</v>
      </c>
      <c r="C76" s="22">
        <v>3</v>
      </c>
      <c r="D76" s="37">
        <v>17</v>
      </c>
      <c r="E76" s="32" t="s">
        <v>15</v>
      </c>
      <c r="F76" s="38">
        <v>5.0999999999999996</v>
      </c>
      <c r="G76" s="32" t="s">
        <v>15</v>
      </c>
      <c r="H76" s="29"/>
      <c r="J76" s="4">
        <v>-12.64</v>
      </c>
      <c r="K76" s="7"/>
      <c r="L76" s="9" t="s">
        <v>14</v>
      </c>
      <c r="M76" s="19"/>
      <c r="N76" s="4">
        <v>-94.6</v>
      </c>
      <c r="O76" s="7"/>
      <c r="P76" s="30" t="s">
        <v>14</v>
      </c>
      <c r="Q76" s="19"/>
      <c r="R76" s="10">
        <f t="shared" si="1"/>
        <v>6.5200000000000102</v>
      </c>
    </row>
    <row r="77" spans="1:18" ht="14.4" x14ac:dyDescent="0.3">
      <c r="A77" s="27" t="s">
        <v>12</v>
      </c>
      <c r="B77" s="3">
        <v>2022</v>
      </c>
      <c r="C77" s="22">
        <v>4</v>
      </c>
      <c r="D77" s="37">
        <v>63</v>
      </c>
      <c r="E77" s="32" t="s">
        <v>15</v>
      </c>
      <c r="F77" s="38">
        <v>9.4</v>
      </c>
      <c r="G77" s="32" t="s">
        <v>15</v>
      </c>
      <c r="H77" s="29"/>
      <c r="J77" s="4">
        <v>-11.37</v>
      </c>
      <c r="K77" s="7"/>
      <c r="L77" s="9" t="s">
        <v>14</v>
      </c>
      <c r="M77" s="19"/>
      <c r="N77" s="4">
        <v>-81.5</v>
      </c>
      <c r="O77" s="7"/>
      <c r="P77" s="30" t="s">
        <v>14</v>
      </c>
      <c r="Q77" s="19"/>
      <c r="R77" s="10">
        <f t="shared" si="1"/>
        <v>9.4599999999999937</v>
      </c>
    </row>
    <row r="78" spans="1:18" ht="14.4" x14ac:dyDescent="0.3">
      <c r="A78" s="27" t="s">
        <v>12</v>
      </c>
      <c r="B78" s="3">
        <v>2022</v>
      </c>
      <c r="C78" s="22">
        <v>5</v>
      </c>
      <c r="D78" s="37">
        <v>80</v>
      </c>
      <c r="E78" s="32" t="s">
        <v>15</v>
      </c>
      <c r="F78" s="38">
        <v>17</v>
      </c>
      <c r="G78" s="32" t="s">
        <v>15</v>
      </c>
      <c r="H78" s="29"/>
      <c r="J78" s="4">
        <v>-4.4800000000000004</v>
      </c>
      <c r="K78" s="7"/>
      <c r="L78" s="9" t="s">
        <v>14</v>
      </c>
      <c r="M78" s="19"/>
      <c r="N78" s="4">
        <v>-24.8</v>
      </c>
      <c r="O78" s="7"/>
      <c r="P78" s="30" t="s">
        <v>14</v>
      </c>
      <c r="Q78" s="19"/>
      <c r="R78" s="10">
        <f t="shared" si="1"/>
        <v>11.040000000000003</v>
      </c>
    </row>
    <row r="79" spans="1:18" ht="14.4" x14ac:dyDescent="0.3">
      <c r="A79" s="27" t="s">
        <v>12</v>
      </c>
      <c r="B79" s="3">
        <v>2022</v>
      </c>
      <c r="C79" s="22">
        <v>6</v>
      </c>
      <c r="D79" s="37">
        <v>71</v>
      </c>
      <c r="E79" s="32" t="s">
        <v>15</v>
      </c>
      <c r="F79" s="38">
        <v>21.5</v>
      </c>
      <c r="G79" s="32" t="s">
        <v>15</v>
      </c>
      <c r="H79" s="29"/>
      <c r="J79" s="4">
        <v>-6.28</v>
      </c>
      <c r="K79" s="7"/>
      <c r="L79" s="9" t="s">
        <v>14</v>
      </c>
      <c r="M79" s="19"/>
      <c r="N79" s="4">
        <v>-41.8</v>
      </c>
      <c r="O79" s="7"/>
      <c r="P79" s="30" t="s">
        <v>14</v>
      </c>
      <c r="Q79" s="19"/>
      <c r="R79" s="10">
        <f t="shared" si="1"/>
        <v>8.4400000000000048</v>
      </c>
    </row>
    <row r="80" spans="1:18" ht="14.4" x14ac:dyDescent="0.3">
      <c r="A80" s="27" t="s">
        <v>12</v>
      </c>
      <c r="B80" s="3">
        <v>2022</v>
      </c>
      <c r="C80" s="22">
        <v>7</v>
      </c>
      <c r="D80" s="37">
        <v>96</v>
      </c>
      <c r="E80" s="32" t="s">
        <v>15</v>
      </c>
      <c r="F80" s="38">
        <v>22.3</v>
      </c>
      <c r="G80" s="32" t="s">
        <v>15</v>
      </c>
      <c r="H80" s="29"/>
      <c r="J80" s="4">
        <v>-5.96</v>
      </c>
      <c r="K80" s="7"/>
      <c r="L80" s="9" t="s">
        <v>14</v>
      </c>
      <c r="M80" s="19"/>
      <c r="N80" s="4">
        <v>-34.299999999999997</v>
      </c>
      <c r="O80" s="7"/>
      <c r="P80" s="30" t="s">
        <v>14</v>
      </c>
      <c r="Q80" s="19"/>
      <c r="R80" s="10">
        <f t="shared" si="1"/>
        <v>13.380000000000003</v>
      </c>
    </row>
    <row r="81" spans="1:18" ht="14.4" x14ac:dyDescent="0.3">
      <c r="A81" s="27" t="s">
        <v>12</v>
      </c>
      <c r="B81" s="3">
        <v>2022</v>
      </c>
      <c r="C81" s="22">
        <v>8</v>
      </c>
      <c r="D81" s="37">
        <v>91</v>
      </c>
      <c r="E81" s="32" t="s">
        <v>15</v>
      </c>
      <c r="F81" s="38">
        <v>21.8</v>
      </c>
      <c r="G81" s="32" t="s">
        <v>15</v>
      </c>
      <c r="H81" s="29"/>
      <c r="J81" s="4">
        <v>-6.34</v>
      </c>
      <c r="K81" s="7"/>
      <c r="L81" s="9" t="s">
        <v>14</v>
      </c>
      <c r="M81" s="19"/>
      <c r="N81" s="4">
        <v>-43.5</v>
      </c>
      <c r="O81" s="7"/>
      <c r="P81" s="30" t="s">
        <v>14</v>
      </c>
      <c r="Q81" s="19"/>
      <c r="R81" s="10">
        <f t="shared" si="1"/>
        <v>7.2199999999999989</v>
      </c>
    </row>
    <row r="82" spans="1:18" ht="14.4" x14ac:dyDescent="0.3">
      <c r="A82" s="27" t="s">
        <v>12</v>
      </c>
      <c r="B82" s="3">
        <v>2022</v>
      </c>
      <c r="C82" s="22">
        <v>9</v>
      </c>
      <c r="D82" s="37">
        <v>120</v>
      </c>
      <c r="E82" s="32" t="s">
        <v>15</v>
      </c>
      <c r="F82" s="38">
        <v>14.7</v>
      </c>
      <c r="G82" s="32" t="s">
        <v>15</v>
      </c>
      <c r="H82" s="29"/>
      <c r="J82" s="4">
        <v>-8.69</v>
      </c>
      <c r="K82" s="7"/>
      <c r="L82" s="9" t="s">
        <v>14</v>
      </c>
      <c r="M82" s="19"/>
      <c r="N82" s="4">
        <v>-58.2</v>
      </c>
      <c r="O82" s="7"/>
      <c r="P82" s="30" t="s">
        <v>14</v>
      </c>
      <c r="Q82" s="19"/>
      <c r="R82" s="10">
        <f t="shared" si="1"/>
        <v>11.319999999999993</v>
      </c>
    </row>
    <row r="83" spans="1:18" ht="14.4" x14ac:dyDescent="0.3">
      <c r="A83" s="27" t="s">
        <v>12</v>
      </c>
      <c r="B83" s="3">
        <v>2022</v>
      </c>
      <c r="C83" s="22">
        <v>10</v>
      </c>
      <c r="D83" s="37">
        <v>15</v>
      </c>
      <c r="E83" s="32" t="s">
        <v>15</v>
      </c>
      <c r="F83" s="38">
        <v>12.9</v>
      </c>
      <c r="G83" s="32" t="s">
        <v>15</v>
      </c>
      <c r="H83" s="29"/>
      <c r="J83" s="4">
        <v>-6.65</v>
      </c>
      <c r="K83" s="7"/>
      <c r="L83" s="9" t="s">
        <v>14</v>
      </c>
      <c r="M83" s="19"/>
      <c r="N83" s="4">
        <v>-47.5</v>
      </c>
      <c r="O83" s="7"/>
      <c r="P83" s="30" t="s">
        <v>14</v>
      </c>
      <c r="Q83" s="19"/>
      <c r="R83" s="10">
        <f t="shared" si="1"/>
        <v>5.7000000000000028</v>
      </c>
    </row>
    <row r="84" spans="1:18" ht="14.4" x14ac:dyDescent="0.3">
      <c r="A84" s="27" t="s">
        <v>12</v>
      </c>
      <c r="B84" s="3">
        <v>2022</v>
      </c>
      <c r="C84" s="22">
        <v>11</v>
      </c>
      <c r="D84" s="37">
        <v>41</v>
      </c>
      <c r="E84" s="32" t="s">
        <v>15</v>
      </c>
      <c r="F84" s="38">
        <v>6.4</v>
      </c>
      <c r="G84" s="32" t="s">
        <v>15</v>
      </c>
      <c r="H84" s="29"/>
      <c r="J84" s="4">
        <v>-12.4</v>
      </c>
      <c r="K84" s="7"/>
      <c r="L84" s="9" t="s">
        <v>14</v>
      </c>
      <c r="M84" s="19"/>
      <c r="N84" s="4">
        <v>-87.9</v>
      </c>
      <c r="O84" s="7"/>
      <c r="P84" s="30" t="s">
        <v>14</v>
      </c>
      <c r="Q84" s="19"/>
      <c r="R84" s="10">
        <f t="shared" si="1"/>
        <v>11.299999999999997</v>
      </c>
    </row>
    <row r="85" spans="1:18" ht="14.4" x14ac:dyDescent="0.3">
      <c r="A85" s="27" t="s">
        <v>12</v>
      </c>
      <c r="B85" s="3">
        <v>2022</v>
      </c>
      <c r="C85" s="22">
        <v>12</v>
      </c>
      <c r="D85" s="37">
        <v>31</v>
      </c>
      <c r="E85" s="32" t="s">
        <v>15</v>
      </c>
      <c r="F85" s="38">
        <v>1.6</v>
      </c>
      <c r="G85" s="32" t="s">
        <v>15</v>
      </c>
      <c r="H85" s="29"/>
      <c r="J85" s="4">
        <v>-13.87</v>
      </c>
      <c r="K85" s="7"/>
      <c r="L85" s="9" t="s">
        <v>14</v>
      </c>
      <c r="M85" s="19"/>
      <c r="N85" s="4">
        <v>-97.2</v>
      </c>
      <c r="O85" s="7"/>
      <c r="P85" s="30" t="s">
        <v>14</v>
      </c>
      <c r="Q85" s="19"/>
      <c r="R85" s="10">
        <f t="shared" si="1"/>
        <v>13.759999999999991</v>
      </c>
    </row>
    <row r="86" spans="1:18" ht="14.4" x14ac:dyDescent="0.3">
      <c r="A86" s="27" t="s">
        <v>12</v>
      </c>
      <c r="B86" s="3">
        <v>2023</v>
      </c>
      <c r="C86" s="22">
        <v>1</v>
      </c>
      <c r="D86" s="37">
        <v>57</v>
      </c>
      <c r="E86" s="32" t="s">
        <v>15</v>
      </c>
      <c r="F86" s="38">
        <v>3.1</v>
      </c>
      <c r="G86" s="32" t="s">
        <v>15</v>
      </c>
      <c r="H86" s="29"/>
      <c r="J86" s="4">
        <v>-13.2</v>
      </c>
      <c r="K86" s="7"/>
      <c r="L86" s="9" t="s">
        <v>14</v>
      </c>
      <c r="M86" s="19"/>
      <c r="N86" s="4">
        <v>-91.2</v>
      </c>
      <c r="O86" s="7"/>
      <c r="P86" s="30" t="s">
        <v>14</v>
      </c>
      <c r="Q86" s="19"/>
      <c r="R86" s="10">
        <f t="shared" ref="R86:R109" si="2">N86-8*J86</f>
        <v>14.399999999999991</v>
      </c>
    </row>
    <row r="87" spans="1:18" ht="14.4" x14ac:dyDescent="0.3">
      <c r="A87" s="27" t="s">
        <v>12</v>
      </c>
      <c r="B87" s="3">
        <v>2023</v>
      </c>
      <c r="C87" s="22">
        <v>2</v>
      </c>
      <c r="D87" s="37">
        <v>11</v>
      </c>
      <c r="E87" s="32" t="s">
        <v>15</v>
      </c>
      <c r="F87" s="38">
        <v>3.1</v>
      </c>
      <c r="G87" s="32" t="s">
        <v>15</v>
      </c>
      <c r="H87" s="29"/>
      <c r="J87" s="17">
        <v>-14.43</v>
      </c>
      <c r="K87" s="7"/>
      <c r="L87" s="9" t="s">
        <v>14</v>
      </c>
      <c r="M87" s="7"/>
      <c r="N87" s="17">
        <v>-105.1</v>
      </c>
      <c r="O87" s="7"/>
      <c r="P87" s="30" t="s">
        <v>14</v>
      </c>
      <c r="Q87" s="7"/>
      <c r="R87" s="10">
        <f t="shared" si="2"/>
        <v>10.340000000000003</v>
      </c>
    </row>
    <row r="88" spans="1:18" ht="14.4" x14ac:dyDescent="0.3">
      <c r="A88" s="27" t="s">
        <v>12</v>
      </c>
      <c r="B88" s="3">
        <v>2023</v>
      </c>
      <c r="C88" s="22">
        <v>3</v>
      </c>
      <c r="D88" s="37">
        <v>20</v>
      </c>
      <c r="E88" s="32" t="s">
        <v>15</v>
      </c>
      <c r="F88" s="38">
        <v>7.3</v>
      </c>
      <c r="G88" s="32" t="s">
        <v>15</v>
      </c>
      <c r="H88" s="29"/>
      <c r="J88" s="17">
        <v>-9.39</v>
      </c>
      <c r="K88" s="7"/>
      <c r="L88" s="9" t="s">
        <v>14</v>
      </c>
      <c r="M88" s="7"/>
      <c r="N88" s="17">
        <v>-71.3</v>
      </c>
      <c r="O88" s="7"/>
      <c r="P88" s="30" t="s">
        <v>14</v>
      </c>
      <c r="Q88" s="7"/>
      <c r="R88" s="10">
        <f t="shared" si="2"/>
        <v>3.8200000000000074</v>
      </c>
    </row>
    <row r="89" spans="1:18" ht="14.4" x14ac:dyDescent="0.3">
      <c r="A89" s="27" t="s">
        <v>12</v>
      </c>
      <c r="B89" s="3">
        <v>2023</v>
      </c>
      <c r="C89" s="22">
        <v>4</v>
      </c>
      <c r="D89" s="37">
        <v>93</v>
      </c>
      <c r="E89" s="32" t="s">
        <v>15</v>
      </c>
      <c r="F89" s="38">
        <v>9</v>
      </c>
      <c r="G89" s="32" t="s">
        <v>15</v>
      </c>
      <c r="H89" s="29"/>
      <c r="J89" s="17">
        <v>-10.74</v>
      </c>
      <c r="K89" s="7"/>
      <c r="L89" s="9" t="s">
        <v>14</v>
      </c>
      <c r="M89" s="7"/>
      <c r="N89" s="17">
        <v>-76.400000000000006</v>
      </c>
      <c r="O89" s="7"/>
      <c r="P89" s="30" t="s">
        <v>14</v>
      </c>
      <c r="Q89" s="7"/>
      <c r="R89" s="10">
        <f t="shared" si="2"/>
        <v>9.519999999999996</v>
      </c>
    </row>
    <row r="90" spans="1:18" ht="14.4" x14ac:dyDescent="0.3">
      <c r="A90" s="27" t="s">
        <v>12</v>
      </c>
      <c r="B90" s="3">
        <v>2023</v>
      </c>
      <c r="C90" s="22">
        <v>5</v>
      </c>
      <c r="D90" s="37">
        <v>106</v>
      </c>
      <c r="E90" s="32" t="s">
        <v>15</v>
      </c>
      <c r="F90" s="38">
        <v>14.9</v>
      </c>
      <c r="G90" s="32" t="s">
        <v>15</v>
      </c>
      <c r="H90" s="29"/>
      <c r="J90" s="17">
        <v>-7.47</v>
      </c>
      <c r="K90" s="7"/>
      <c r="L90" s="9" t="s">
        <v>14</v>
      </c>
      <c r="M90" s="7"/>
      <c r="N90" s="17">
        <v>-49.3</v>
      </c>
      <c r="O90" s="7"/>
      <c r="P90" s="30" t="s">
        <v>14</v>
      </c>
      <c r="Q90" s="7"/>
      <c r="R90" s="10">
        <f t="shared" si="2"/>
        <v>10.46</v>
      </c>
    </row>
    <row r="91" spans="1:18" ht="14.4" x14ac:dyDescent="0.3">
      <c r="A91" s="27" t="s">
        <v>12</v>
      </c>
      <c r="B91" s="3">
        <v>2023</v>
      </c>
      <c r="C91" s="22">
        <v>6</v>
      </c>
      <c r="D91" s="37">
        <v>94</v>
      </c>
      <c r="E91" s="32" t="s">
        <v>15</v>
      </c>
      <c r="F91" s="38">
        <v>19.600000000000001</v>
      </c>
      <c r="G91" s="32" t="s">
        <v>15</v>
      </c>
      <c r="H91" s="29"/>
      <c r="J91" s="17">
        <v>-7.01</v>
      </c>
      <c r="K91" s="7"/>
      <c r="L91" s="9" t="s">
        <v>14</v>
      </c>
      <c r="M91" s="7"/>
      <c r="N91" s="17">
        <v>-47.2</v>
      </c>
      <c r="O91" s="7"/>
      <c r="P91" s="30" t="s">
        <v>14</v>
      </c>
      <c r="Q91" s="7"/>
      <c r="R91" s="10">
        <f t="shared" si="2"/>
        <v>8.8799999999999955</v>
      </c>
    </row>
    <row r="92" spans="1:18" ht="14.4" x14ac:dyDescent="0.3">
      <c r="A92" s="27" t="s">
        <v>12</v>
      </c>
      <c r="B92" s="3">
        <v>2023</v>
      </c>
      <c r="C92" s="22">
        <v>7</v>
      </c>
      <c r="D92" s="37">
        <v>103</v>
      </c>
      <c r="E92" s="32" t="s">
        <v>15</v>
      </c>
      <c r="F92" s="38">
        <v>21.8</v>
      </c>
      <c r="G92" s="32" t="s">
        <v>15</v>
      </c>
      <c r="H92" s="29"/>
      <c r="J92" s="17">
        <v>-5.63</v>
      </c>
      <c r="K92" s="7"/>
      <c r="L92" s="9" t="s">
        <v>14</v>
      </c>
      <c r="M92" s="7"/>
      <c r="N92" s="17">
        <v>-36.200000000000003</v>
      </c>
      <c r="O92" s="7"/>
      <c r="P92" s="30" t="s">
        <v>14</v>
      </c>
      <c r="Q92" s="7"/>
      <c r="R92" s="10">
        <f t="shared" si="2"/>
        <v>8.8399999999999963</v>
      </c>
    </row>
    <row r="93" spans="1:18" ht="14.4" x14ac:dyDescent="0.3">
      <c r="A93" s="27" t="s">
        <v>12</v>
      </c>
      <c r="B93" s="3">
        <v>2023</v>
      </c>
      <c r="C93" s="22">
        <v>8</v>
      </c>
      <c r="D93" s="37">
        <v>213</v>
      </c>
      <c r="E93" s="32" t="s">
        <v>15</v>
      </c>
      <c r="F93" s="38">
        <v>20.6</v>
      </c>
      <c r="G93" s="32" t="s">
        <v>15</v>
      </c>
      <c r="H93" s="29"/>
      <c r="J93" s="18">
        <v>-6.44</v>
      </c>
      <c r="K93" s="7"/>
      <c r="L93" s="9" t="s">
        <v>14</v>
      </c>
      <c r="M93" s="7"/>
      <c r="N93" s="17">
        <v>-40.799999999999997</v>
      </c>
      <c r="O93" s="7"/>
      <c r="P93" s="30" t="s">
        <v>14</v>
      </c>
      <c r="Q93" s="7"/>
      <c r="R93" s="10">
        <f t="shared" si="2"/>
        <v>10.720000000000006</v>
      </c>
    </row>
    <row r="94" spans="1:18" ht="14.4" x14ac:dyDescent="0.3">
      <c r="A94" s="27" t="s">
        <v>12</v>
      </c>
      <c r="B94" s="3">
        <v>2023</v>
      </c>
      <c r="C94" s="22">
        <v>9</v>
      </c>
      <c r="D94" s="37">
        <v>28</v>
      </c>
      <c r="E94" s="32" t="s">
        <v>15</v>
      </c>
      <c r="F94" s="38">
        <v>18.2</v>
      </c>
      <c r="G94" s="32" t="s">
        <v>15</v>
      </c>
      <c r="H94" s="29"/>
      <c r="J94" s="18">
        <v>-6.41</v>
      </c>
      <c r="K94" s="7"/>
      <c r="L94" s="9" t="s">
        <v>14</v>
      </c>
      <c r="M94" s="7"/>
      <c r="N94" s="17">
        <v>-39.5</v>
      </c>
      <c r="O94" s="7"/>
      <c r="P94" s="30" t="s">
        <v>14</v>
      </c>
      <c r="Q94" s="7"/>
      <c r="R94" s="10">
        <f t="shared" si="2"/>
        <v>11.780000000000001</v>
      </c>
    </row>
    <row r="95" spans="1:18" ht="14.4" x14ac:dyDescent="0.3">
      <c r="A95" s="27" t="s">
        <v>12</v>
      </c>
      <c r="B95" s="3">
        <v>2023</v>
      </c>
      <c r="C95" s="23">
        <v>10</v>
      </c>
      <c r="D95" s="37">
        <v>90</v>
      </c>
      <c r="E95" s="32" t="s">
        <v>15</v>
      </c>
      <c r="F95" s="38">
        <v>12.9</v>
      </c>
      <c r="G95" s="32" t="s">
        <v>15</v>
      </c>
      <c r="H95" s="29"/>
      <c r="J95" s="18">
        <v>-9.49</v>
      </c>
      <c r="K95" s="7"/>
      <c r="L95" s="9" t="s">
        <v>14</v>
      </c>
      <c r="M95" s="7"/>
      <c r="N95" s="17">
        <v>-68.2</v>
      </c>
      <c r="O95" s="7"/>
      <c r="P95" s="30" t="s">
        <v>14</v>
      </c>
      <c r="Q95" s="7"/>
      <c r="R95" s="10">
        <f t="shared" si="2"/>
        <v>7.7199999999999989</v>
      </c>
    </row>
    <row r="96" spans="1:18" ht="14.4" x14ac:dyDescent="0.3">
      <c r="A96" s="27" t="s">
        <v>12</v>
      </c>
      <c r="B96" s="3">
        <v>2023</v>
      </c>
      <c r="C96" s="23">
        <v>11</v>
      </c>
      <c r="D96" s="37">
        <v>49</v>
      </c>
      <c r="E96" s="32" t="s">
        <v>15</v>
      </c>
      <c r="F96" s="38">
        <v>5.2</v>
      </c>
      <c r="G96" s="32" t="s">
        <v>15</v>
      </c>
      <c r="H96" s="29"/>
      <c r="J96" s="18">
        <v>-9.5399999999999991</v>
      </c>
      <c r="K96" s="7"/>
      <c r="L96" s="9" t="s">
        <v>14</v>
      </c>
      <c r="M96" s="7"/>
      <c r="N96" s="17">
        <v>-62.7</v>
      </c>
      <c r="O96" s="7"/>
      <c r="P96" s="30" t="s">
        <v>14</v>
      </c>
      <c r="Q96" s="7"/>
      <c r="R96" s="10">
        <f t="shared" si="2"/>
        <v>13.61999999999999</v>
      </c>
    </row>
    <row r="97" spans="1:18" ht="14.4" x14ac:dyDescent="0.3">
      <c r="A97" s="27" t="s">
        <v>12</v>
      </c>
      <c r="B97" s="3">
        <v>2023</v>
      </c>
      <c r="C97" s="23">
        <v>12</v>
      </c>
      <c r="D97" s="37">
        <v>56</v>
      </c>
      <c r="E97" s="32" t="s">
        <v>15</v>
      </c>
      <c r="F97" s="38">
        <v>2.1</v>
      </c>
      <c r="G97" s="32" t="s">
        <v>15</v>
      </c>
      <c r="H97" s="29"/>
      <c r="J97" s="18">
        <v>-14.47</v>
      </c>
      <c r="K97" s="7"/>
      <c r="L97" s="9" t="s">
        <v>14</v>
      </c>
      <c r="M97" s="7"/>
      <c r="N97" s="17">
        <v>-106.9</v>
      </c>
      <c r="O97" s="7"/>
      <c r="P97" s="30" t="s">
        <v>14</v>
      </c>
      <c r="Q97" s="7"/>
      <c r="R97" s="10">
        <f t="shared" si="2"/>
        <v>8.86</v>
      </c>
    </row>
    <row r="98" spans="1:18" ht="14.4" x14ac:dyDescent="0.3">
      <c r="A98" s="27" t="s">
        <v>12</v>
      </c>
      <c r="B98" s="3">
        <v>2024</v>
      </c>
      <c r="C98" s="22">
        <v>1</v>
      </c>
      <c r="D98" s="38">
        <v>21</v>
      </c>
      <c r="E98" s="32" t="s">
        <v>15</v>
      </c>
      <c r="F98" s="38">
        <v>1</v>
      </c>
      <c r="G98" s="32" t="s">
        <v>15</v>
      </c>
      <c r="H98" s="29"/>
      <c r="J98" s="4">
        <v>-15.61</v>
      </c>
      <c r="K98" s="20"/>
      <c r="L98" s="20"/>
      <c r="M98" s="20"/>
      <c r="N98" s="1">
        <v>-121.5</v>
      </c>
      <c r="O98" s="20"/>
      <c r="P98" s="35"/>
      <c r="Q98" s="20"/>
      <c r="R98" s="10">
        <f t="shared" si="2"/>
        <v>3.3799999999999955</v>
      </c>
    </row>
    <row r="99" spans="1:18" ht="14.4" x14ac:dyDescent="0.3">
      <c r="A99" s="27" t="s">
        <v>12</v>
      </c>
      <c r="B99" s="3">
        <v>2024</v>
      </c>
      <c r="C99" s="22">
        <v>2</v>
      </c>
      <c r="D99" s="38">
        <v>20</v>
      </c>
      <c r="E99" s="32" t="s">
        <v>15</v>
      </c>
      <c r="F99" s="38">
        <v>6.8</v>
      </c>
      <c r="G99" s="32" t="s">
        <v>15</v>
      </c>
      <c r="H99" s="29"/>
      <c r="J99" s="4">
        <v>-15.33</v>
      </c>
      <c r="K99" s="20"/>
      <c r="L99" s="20"/>
      <c r="M99" s="20"/>
      <c r="N99" s="5">
        <v>-118.6</v>
      </c>
      <c r="O99" s="20"/>
      <c r="P99" s="35"/>
      <c r="Q99" s="20"/>
      <c r="R99" s="10">
        <f t="shared" si="2"/>
        <v>4.0400000000000063</v>
      </c>
    </row>
    <row r="100" spans="1:18" ht="14.4" x14ac:dyDescent="0.3">
      <c r="A100" s="27" t="s">
        <v>12</v>
      </c>
      <c r="B100" s="3">
        <v>2024</v>
      </c>
      <c r="C100" s="22">
        <v>3</v>
      </c>
      <c r="D100" s="38">
        <v>35</v>
      </c>
      <c r="E100" s="32" t="s">
        <v>15</v>
      </c>
      <c r="F100" s="38">
        <v>8.9</v>
      </c>
      <c r="G100" s="32" t="s">
        <v>15</v>
      </c>
      <c r="H100" s="29"/>
      <c r="J100" s="4">
        <v>-11.7</v>
      </c>
      <c r="K100" s="20"/>
      <c r="L100" s="20"/>
      <c r="M100" s="20"/>
      <c r="N100" s="5">
        <v>-88.3</v>
      </c>
      <c r="O100" s="20"/>
      <c r="P100" s="35"/>
      <c r="Q100" s="20"/>
      <c r="R100" s="10">
        <f t="shared" si="2"/>
        <v>5.2999999999999972</v>
      </c>
    </row>
    <row r="101" spans="1:18" ht="14.4" x14ac:dyDescent="0.3">
      <c r="A101" s="27" t="s">
        <v>12</v>
      </c>
      <c r="B101" s="3">
        <v>2024</v>
      </c>
      <c r="C101" s="22">
        <v>4</v>
      </c>
      <c r="D101" s="38">
        <v>35</v>
      </c>
      <c r="E101" s="32" t="s">
        <v>15</v>
      </c>
      <c r="F101" s="38">
        <v>12.5</v>
      </c>
      <c r="G101" s="32" t="s">
        <v>15</v>
      </c>
      <c r="H101" s="29"/>
      <c r="J101" s="4">
        <v>-10.31</v>
      </c>
      <c r="K101" s="20"/>
      <c r="L101" s="20"/>
      <c r="M101" s="20"/>
      <c r="N101" s="5">
        <v>-71.900000000000006</v>
      </c>
      <c r="O101" s="20"/>
      <c r="P101" s="35"/>
      <c r="Q101" s="20"/>
      <c r="R101" s="10">
        <f t="shared" si="2"/>
        <v>10.579999999999998</v>
      </c>
    </row>
    <row r="102" spans="1:18" ht="14.4" x14ac:dyDescent="0.3">
      <c r="A102" s="27" t="s">
        <v>12</v>
      </c>
      <c r="B102" s="3">
        <v>2024</v>
      </c>
      <c r="C102" s="22">
        <v>5</v>
      </c>
      <c r="D102" s="38">
        <v>159</v>
      </c>
      <c r="E102" s="32" t="s">
        <v>15</v>
      </c>
      <c r="F102" s="38">
        <v>16</v>
      </c>
      <c r="G102" s="32" t="s">
        <v>15</v>
      </c>
      <c r="H102" s="29"/>
      <c r="J102" s="4">
        <v>-7.07</v>
      </c>
      <c r="K102" s="20"/>
      <c r="L102" s="20"/>
      <c r="M102" s="20"/>
      <c r="N102" s="5">
        <v>-48.5</v>
      </c>
      <c r="O102" s="20"/>
      <c r="P102" s="35"/>
      <c r="Q102" s="20"/>
      <c r="R102" s="10">
        <f t="shared" si="2"/>
        <v>8.0600000000000023</v>
      </c>
    </row>
    <row r="103" spans="1:18" ht="14.4" x14ac:dyDescent="0.3">
      <c r="A103" s="27" t="s">
        <v>12</v>
      </c>
      <c r="B103" s="3">
        <v>2024</v>
      </c>
      <c r="C103" s="22">
        <v>6</v>
      </c>
      <c r="D103" s="38">
        <v>151</v>
      </c>
      <c r="E103" s="32" t="s">
        <v>15</v>
      </c>
      <c r="F103" s="38">
        <v>20.3</v>
      </c>
      <c r="G103" s="32" t="s">
        <v>15</v>
      </c>
      <c r="H103" s="29"/>
      <c r="J103" s="4">
        <v>-6.79</v>
      </c>
      <c r="K103" s="20"/>
      <c r="L103" s="20"/>
      <c r="M103" s="20"/>
      <c r="N103" s="5">
        <v>-44.7</v>
      </c>
      <c r="O103" s="20"/>
      <c r="P103" s="35"/>
      <c r="Q103" s="20"/>
      <c r="R103" s="10">
        <f t="shared" si="2"/>
        <v>9.6199999999999974</v>
      </c>
    </row>
    <row r="104" spans="1:18" ht="14.4" x14ac:dyDescent="0.3">
      <c r="A104" s="27" t="s">
        <v>12</v>
      </c>
      <c r="B104" s="3">
        <v>2024</v>
      </c>
      <c r="C104" s="22">
        <v>7</v>
      </c>
      <c r="D104" s="38">
        <v>125</v>
      </c>
      <c r="E104" s="32" t="s">
        <v>15</v>
      </c>
      <c r="F104" s="38">
        <v>22.9</v>
      </c>
      <c r="G104" s="32" t="s">
        <v>15</v>
      </c>
      <c r="H104" s="29"/>
      <c r="J104" s="4">
        <v>-5.1100000000000003</v>
      </c>
      <c r="N104" s="5">
        <v>-31.7</v>
      </c>
      <c r="R104" s="10">
        <f t="shared" si="2"/>
        <v>9.1800000000000033</v>
      </c>
    </row>
    <row r="105" spans="1:18" ht="14.4" x14ac:dyDescent="0.3">
      <c r="A105" s="27" t="s">
        <v>12</v>
      </c>
      <c r="B105" s="3">
        <v>2024</v>
      </c>
      <c r="C105" s="22">
        <v>8</v>
      </c>
      <c r="D105" s="38">
        <v>106</v>
      </c>
      <c r="E105" s="32" t="s">
        <v>15</v>
      </c>
      <c r="F105" s="38">
        <v>23.2</v>
      </c>
      <c r="G105" s="32" t="s">
        <v>15</v>
      </c>
      <c r="H105" s="29"/>
      <c r="J105" s="4">
        <v>-5.26</v>
      </c>
      <c r="N105" s="5">
        <v>-32.700000000000003</v>
      </c>
      <c r="R105" s="10">
        <f t="shared" si="2"/>
        <v>9.3799999999999955</v>
      </c>
    </row>
    <row r="106" spans="1:18" ht="14.4" x14ac:dyDescent="0.3">
      <c r="A106" s="27" t="s">
        <v>12</v>
      </c>
      <c r="B106" s="3">
        <v>2024</v>
      </c>
      <c r="C106" s="22">
        <v>9</v>
      </c>
      <c r="D106" s="38">
        <v>148</v>
      </c>
      <c r="E106" s="32" t="s">
        <v>15</v>
      </c>
      <c r="F106" s="38">
        <v>16.100000000000001</v>
      </c>
      <c r="G106" s="32" t="s">
        <v>15</v>
      </c>
      <c r="H106" s="29"/>
      <c r="J106" s="4">
        <v>-10.86</v>
      </c>
      <c r="N106" s="5">
        <v>-77.3</v>
      </c>
      <c r="R106" s="10">
        <f t="shared" si="2"/>
        <v>9.5799999999999983</v>
      </c>
    </row>
    <row r="107" spans="1:18" ht="14.4" x14ac:dyDescent="0.3">
      <c r="A107" s="27" t="s">
        <v>12</v>
      </c>
      <c r="B107" s="3">
        <v>2024</v>
      </c>
      <c r="C107" s="23">
        <v>10</v>
      </c>
      <c r="D107" s="38">
        <v>70</v>
      </c>
      <c r="E107" s="32" t="s">
        <v>15</v>
      </c>
      <c r="F107" s="38">
        <v>11.6</v>
      </c>
      <c r="G107" s="32" t="s">
        <v>15</v>
      </c>
      <c r="H107" s="29"/>
      <c r="J107" s="4">
        <v>-11.83</v>
      </c>
      <c r="N107" s="5">
        <v>-88.2</v>
      </c>
      <c r="R107" s="10">
        <f t="shared" si="2"/>
        <v>6.4399999999999977</v>
      </c>
    </row>
    <row r="108" spans="1:18" ht="14.4" x14ac:dyDescent="0.3">
      <c r="A108" s="27" t="s">
        <v>12</v>
      </c>
      <c r="B108" s="3">
        <v>2024</v>
      </c>
      <c r="C108" s="23">
        <v>11</v>
      </c>
      <c r="D108" s="38">
        <v>8</v>
      </c>
      <c r="E108" s="32" t="s">
        <v>15</v>
      </c>
      <c r="F108" s="38">
        <v>3.7</v>
      </c>
      <c r="G108" s="32" t="s">
        <v>15</v>
      </c>
      <c r="H108" s="29"/>
      <c r="J108" s="4">
        <v>-12.16</v>
      </c>
      <c r="N108" s="5">
        <v>-84.6</v>
      </c>
      <c r="R108" s="10">
        <f t="shared" si="2"/>
        <v>12.680000000000007</v>
      </c>
    </row>
    <row r="109" spans="1:18" ht="14.4" x14ac:dyDescent="0.3">
      <c r="A109" s="27" t="s">
        <v>12</v>
      </c>
      <c r="B109" s="3">
        <v>2024</v>
      </c>
      <c r="C109" s="23">
        <v>12</v>
      </c>
      <c r="D109" s="38">
        <v>7</v>
      </c>
      <c r="E109" s="32" t="s">
        <v>15</v>
      </c>
      <c r="F109" s="38">
        <v>2</v>
      </c>
      <c r="G109" s="32" t="s">
        <v>15</v>
      </c>
      <c r="H109" s="29"/>
      <c r="J109" s="4">
        <v>-15.46</v>
      </c>
      <c r="N109" s="5">
        <v>-117.7</v>
      </c>
      <c r="R109" s="10">
        <f t="shared" si="2"/>
        <v>5.980000000000004</v>
      </c>
    </row>
  </sheetData>
  <pageMargins left="0.70833333333333304" right="0.70833333333333304" top="0.74791666666666701" bottom="0.74791666666666701" header="0.51180555555555496" footer="0.51180555555555496"/>
  <pageSetup paperSize="8" firstPageNumber="0" fitToHeight="6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Id="1" sqref="A422:AG457 A1"/>
    </sheetView>
  </sheetViews>
  <sheetFormatPr defaultRowHeight="14.4" x14ac:dyDescent="0.3"/>
  <cols>
    <col min="1" max="1025" width="8.5546875" customWidth="1"/>
  </cols>
  <sheetData/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Graz</vt:lpstr>
      <vt:lpstr>ESRI_MAPINFO_SHEET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Jan Gačnik</cp:lastModifiedBy>
  <cp:revision>3</cp:revision>
  <cp:lastPrinted>2018-05-21T08:00:17Z</cp:lastPrinted>
  <dcterms:created xsi:type="dcterms:W3CDTF">2016-10-18T09:40:26Z</dcterms:created>
  <dcterms:modified xsi:type="dcterms:W3CDTF">2026-07-17T12:44:03Z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ESRI_WORKBOOK_ID">
    <vt:lpwstr>4909a971f78a4c479593e267386cf79f</vt:lpwstr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